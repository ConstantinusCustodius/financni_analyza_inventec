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ae\Downloads\"/>
    </mc:Choice>
  </mc:AlternateContent>
  <xr:revisionPtr revIDLastSave="0" documentId="13_ncr:1_{89F62C06-7577-47F1-96D0-DE1092E5865C}" xr6:coauthVersionLast="47" xr6:coauthVersionMax="47" xr10:uidLastSave="{00000000-0000-0000-0000-000000000000}"/>
  <bookViews>
    <workbookView xWindow="-108" yWindow="-108" windowWidth="23256" windowHeight="12456" xr2:uid="{9938F4F9-058B-4F1C-97C0-3736C0772827}"/>
  </bookViews>
  <sheets>
    <sheet name="Analyza_Ukazatelu" sheetId="1" r:id="rId1"/>
    <sheet name="Ver_Hor_Analyz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4" i="2" l="1"/>
  <c r="J3" i="2"/>
  <c r="B49" i="1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E33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C54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F32" i="2"/>
  <c r="E32" i="2"/>
  <c r="D32" i="2"/>
  <c r="C32" i="2"/>
  <c r="L14" i="2"/>
  <c r="L3" i="2"/>
  <c r="K3" i="2"/>
  <c r="K14" i="2"/>
  <c r="L5" i="2"/>
  <c r="K5" i="2"/>
  <c r="K15" i="2"/>
  <c r="K12" i="2"/>
  <c r="L22" i="2"/>
  <c r="M3" i="2"/>
  <c r="M4" i="2"/>
  <c r="J25" i="2"/>
  <c r="J13" i="2"/>
  <c r="K13" i="2"/>
  <c r="L13" i="2"/>
  <c r="M13" i="2"/>
  <c r="J14" i="2"/>
  <c r="M14" i="2"/>
  <c r="J15" i="2"/>
  <c r="L15" i="2"/>
  <c r="M15" i="2"/>
  <c r="J16" i="2"/>
  <c r="K16" i="2"/>
  <c r="L16" i="2"/>
  <c r="M16" i="2"/>
  <c r="J17" i="2"/>
  <c r="K17" i="2"/>
  <c r="L17" i="2"/>
  <c r="M17" i="2"/>
  <c r="J18" i="2"/>
  <c r="K18" i="2"/>
  <c r="L18" i="2"/>
  <c r="M18" i="2"/>
  <c r="J19" i="2"/>
  <c r="K19" i="2"/>
  <c r="L19" i="2"/>
  <c r="M19" i="2"/>
  <c r="J20" i="2"/>
  <c r="K20" i="2"/>
  <c r="L20" i="2"/>
  <c r="M20" i="2"/>
  <c r="J21" i="2"/>
  <c r="K21" i="2"/>
  <c r="L21" i="2"/>
  <c r="M21" i="2"/>
  <c r="J22" i="2"/>
  <c r="K22" i="2"/>
  <c r="M22" i="2"/>
  <c r="J23" i="2"/>
  <c r="K23" i="2"/>
  <c r="L23" i="2"/>
  <c r="M23" i="2"/>
  <c r="J24" i="2"/>
  <c r="K24" i="2"/>
  <c r="L24" i="2"/>
  <c r="M24" i="2"/>
  <c r="K25" i="2"/>
  <c r="L25" i="2"/>
  <c r="M25" i="2"/>
  <c r="J5" i="2"/>
  <c r="M5" i="2"/>
  <c r="J6" i="2"/>
  <c r="K6" i="2"/>
  <c r="L6" i="2"/>
  <c r="M6" i="2"/>
  <c r="J7" i="2"/>
  <c r="K7" i="2"/>
  <c r="L7" i="2"/>
  <c r="M7" i="2"/>
  <c r="J8" i="2"/>
  <c r="K8" i="2"/>
  <c r="L8" i="2"/>
  <c r="M8" i="2"/>
  <c r="J9" i="2"/>
  <c r="K9" i="2"/>
  <c r="L9" i="2"/>
  <c r="M9" i="2"/>
  <c r="J10" i="2"/>
  <c r="K10" i="2"/>
  <c r="L10" i="2"/>
  <c r="M10" i="2"/>
  <c r="J11" i="2"/>
  <c r="K11" i="2"/>
  <c r="L11" i="2"/>
  <c r="M11" i="2"/>
  <c r="J12" i="2"/>
  <c r="L12" i="2"/>
  <c r="M12" i="2"/>
  <c r="K4" i="2"/>
  <c r="L4" i="2"/>
  <c r="J4" i="2"/>
  <c r="E49" i="1"/>
  <c r="F31" i="1" s="1"/>
  <c r="C49" i="1"/>
  <c r="D49" i="1"/>
  <c r="D50" i="1"/>
  <c r="E33" i="1" s="1"/>
  <c r="E50" i="1"/>
  <c r="F33" i="1" s="1"/>
  <c r="D51" i="1"/>
  <c r="E51" i="1"/>
  <c r="D52" i="1"/>
  <c r="E52" i="1"/>
  <c r="D53" i="1"/>
  <c r="E53" i="1"/>
  <c r="D54" i="1"/>
  <c r="E54" i="1"/>
  <c r="D55" i="1"/>
  <c r="E44" i="1" s="1"/>
  <c r="E55" i="1"/>
  <c r="F44" i="1" s="1"/>
  <c r="E34" i="1"/>
  <c r="F34" i="1"/>
  <c r="E35" i="1"/>
  <c r="F35" i="1"/>
  <c r="E41" i="1"/>
  <c r="F41" i="1"/>
  <c r="E42" i="1"/>
  <c r="F42" i="1"/>
  <c r="E43" i="1"/>
  <c r="F43" i="1"/>
  <c r="G27" i="1"/>
  <c r="D35" i="1"/>
  <c r="D43" i="1"/>
  <c r="C43" i="1"/>
  <c r="C42" i="1"/>
  <c r="D42" i="1"/>
  <c r="C41" i="1"/>
  <c r="D41" i="1"/>
  <c r="C51" i="1"/>
  <c r="F27" i="1"/>
  <c r="C35" i="1"/>
  <c r="E27" i="1"/>
  <c r="D45" i="1" s="1"/>
  <c r="D27" i="1"/>
  <c r="C45" i="1" s="1"/>
  <c r="B54" i="1"/>
  <c r="D34" i="1"/>
  <c r="C34" i="1"/>
  <c r="C55" i="1"/>
  <c r="D44" i="1" s="1"/>
  <c r="B55" i="1"/>
  <c r="C44" i="1" s="1"/>
  <c r="C54" i="1"/>
  <c r="C53" i="1"/>
  <c r="B53" i="1"/>
  <c r="C52" i="1"/>
  <c r="B52" i="1"/>
  <c r="B51" i="1"/>
  <c r="C50" i="1"/>
  <c r="D33" i="1" s="1"/>
  <c r="B50" i="1"/>
  <c r="C33" i="1" s="1"/>
  <c r="C31" i="1"/>
  <c r="E36" i="1" l="1"/>
  <c r="D39" i="1"/>
  <c r="F38" i="1"/>
  <c r="D37" i="1"/>
  <c r="D36" i="1"/>
  <c r="F32" i="1"/>
  <c r="E38" i="1"/>
  <c r="E37" i="1"/>
  <c r="F36" i="1"/>
  <c r="F37" i="1"/>
  <c r="E39" i="1"/>
  <c r="E31" i="1"/>
  <c r="E32" i="1"/>
  <c r="F39" i="1"/>
  <c r="F40" i="1" s="1"/>
  <c r="D38" i="1"/>
  <c r="D40" i="1" s="1"/>
  <c r="C39" i="1"/>
  <c r="C38" i="1"/>
  <c r="C37" i="1"/>
  <c r="D32" i="1"/>
  <c r="D31" i="1"/>
  <c r="C36" i="1"/>
  <c r="C32" i="1"/>
  <c r="C40" i="1" l="1"/>
  <c r="E40" i="1"/>
</calcChain>
</file>

<file path=xl/sharedStrings.xml><?xml version="1.0" encoding="utf-8"?>
<sst xmlns="http://schemas.openxmlformats.org/spreadsheetml/2006/main" count="196" uniqueCount="130">
  <si>
    <t>Akt</t>
  </si>
  <si>
    <t>PzUZK</t>
  </si>
  <si>
    <t>DA</t>
  </si>
  <si>
    <t>ObA</t>
  </si>
  <si>
    <t>Zás</t>
  </si>
  <si>
    <t>Dpo</t>
  </si>
  <si>
    <t>Kpo</t>
  </si>
  <si>
    <t>Kpov</t>
  </si>
  <si>
    <t>KFM</t>
  </si>
  <si>
    <t>PP</t>
  </si>
  <si>
    <t>ČRA</t>
  </si>
  <si>
    <t>Pas</t>
  </si>
  <si>
    <t>VK</t>
  </si>
  <si>
    <t>CZ</t>
  </si>
  <si>
    <t>Kzáv</t>
  </si>
  <si>
    <t>Kzov</t>
  </si>
  <si>
    <t>ČRP</t>
  </si>
  <si>
    <t>Výn</t>
  </si>
  <si>
    <t>Nák</t>
  </si>
  <si>
    <t>ÚN</t>
  </si>
  <si>
    <t>VH</t>
  </si>
  <si>
    <t>VHpD</t>
  </si>
  <si>
    <t>EBIT</t>
  </si>
  <si>
    <t>Rúvk</t>
  </si>
  <si>
    <t>Rúvk OD</t>
  </si>
  <si>
    <t>Rvk</t>
  </si>
  <si>
    <t>Rvýn</t>
  </si>
  <si>
    <t>N / V</t>
  </si>
  <si>
    <t>Dakt</t>
  </si>
  <si>
    <t>Dzás</t>
  </si>
  <si>
    <t>Dpov</t>
  </si>
  <si>
    <t>Dzov</t>
  </si>
  <si>
    <t>OD</t>
  </si>
  <si>
    <t>BL</t>
  </si>
  <si>
    <t>PL</t>
  </si>
  <si>
    <t>OL</t>
  </si>
  <si>
    <t>VR</t>
  </si>
  <si>
    <t>ÚK</t>
  </si>
  <si>
    <t>Aktiva</t>
  </si>
  <si>
    <t>Pohledávky za upsaný základní kapitál</t>
  </si>
  <si>
    <t>Stálá aktiva</t>
  </si>
  <si>
    <t>Oběžná aktiva</t>
  </si>
  <si>
    <t>Zásoby</t>
  </si>
  <si>
    <t>Dlouhodobé pohledávky</t>
  </si>
  <si>
    <t>Krátkodobé pohledávky</t>
  </si>
  <si>
    <t>Krátkodobé pohledávky z obchodních vztahů</t>
  </si>
  <si>
    <t>Krátkodobý finanční majetek</t>
  </si>
  <si>
    <t>Peněžní prostředky</t>
  </si>
  <si>
    <t>Časové rozlišení aktiv</t>
  </si>
  <si>
    <t>Pasiva</t>
  </si>
  <si>
    <t>Vlastní kapitál</t>
  </si>
  <si>
    <t>Cizí zdroje</t>
  </si>
  <si>
    <t>Krátkodobé závazky</t>
  </si>
  <si>
    <t>Krátkodobé závazky z obchodních vztahů</t>
  </si>
  <si>
    <t>Časové rozlišení pasiv</t>
  </si>
  <si>
    <t>Výnosy</t>
  </si>
  <si>
    <t>Náklady</t>
  </si>
  <si>
    <t>Úrokové náklady</t>
  </si>
  <si>
    <t>Výsledek hospodaření</t>
  </si>
  <si>
    <t>Výsledek hospodaření před zdaněním</t>
  </si>
  <si>
    <t>Výsledek hospodaření před zdaněním a úroky</t>
  </si>
  <si>
    <t>Rentabilita úhrnného vloženého kapitálu v čisté podnikové podobě</t>
  </si>
  <si>
    <t>Rentabilita úhrnného vloženého kapitálu v hrubé obecné podobě</t>
  </si>
  <si>
    <t>Rentabilita vlastního kapitálu v čisté podnikové podobě</t>
  </si>
  <si>
    <t>Rentabilita výnosů</t>
  </si>
  <si>
    <t>Celková nákladovost z výnosů</t>
  </si>
  <si>
    <t>Doba obratu aktiv ve dnech</t>
  </si>
  <si>
    <t>Doba obratu zásob ve dnech</t>
  </si>
  <si>
    <t>Doba obratu pohledávek z obchodních vztahů ve dnech</t>
  </si>
  <si>
    <t>Doba obratu závazků z obchodních vztahů ve dnech</t>
  </si>
  <si>
    <t>Obchodní deficit ve dnech</t>
  </si>
  <si>
    <t>Běžná likvidita</t>
  </si>
  <si>
    <t>Pohotová likvidita</t>
  </si>
  <si>
    <t>Okamžitá likvidita</t>
  </si>
  <si>
    <t>Věřitelské riziko</t>
  </si>
  <si>
    <t>Úrokové krytí</t>
  </si>
  <si>
    <t>001</t>
  </si>
  <si>
    <t>002</t>
  </si>
  <si>
    <t>003</t>
  </si>
  <si>
    <t>037</t>
  </si>
  <si>
    <t>038</t>
  </si>
  <si>
    <t>047</t>
  </si>
  <si>
    <t>057</t>
  </si>
  <si>
    <t>058</t>
  </si>
  <si>
    <t>072</t>
  </si>
  <si>
    <t>075</t>
  </si>
  <si>
    <t>082</t>
  </si>
  <si>
    <t>083</t>
  </si>
  <si>
    <t>104</t>
  </si>
  <si>
    <t>126</t>
  </si>
  <si>
    <t>132</t>
  </si>
  <si>
    <t>147</t>
  </si>
  <si>
    <t>Čistý obrat za účetní období</t>
  </si>
  <si>
    <t>VHpD+ÚN</t>
  </si>
  <si>
    <t>2022</t>
  </si>
  <si>
    <t>2021</t>
  </si>
  <si>
    <t>2020</t>
  </si>
  <si>
    <t>Index</t>
  </si>
  <si>
    <t>Název</t>
  </si>
  <si>
    <t>Kod</t>
  </si>
  <si>
    <t>Polosuma aktiv</t>
  </si>
  <si>
    <t>Polosuma vlastních kapitálů</t>
  </si>
  <si>
    <t>Polosuma zásob</t>
  </si>
  <si>
    <t>Polosuma krátkodobých pohledávek z obchodních vztahů</t>
  </si>
  <si>
    <t>Polosuma krátkodobých závazků z obchodních vztahů</t>
  </si>
  <si>
    <t>Poměr vlastního kapitálu k pasivům</t>
  </si>
  <si>
    <t>Hodnota celkových výnosů za den</t>
  </si>
  <si>
    <t>068</t>
  </si>
  <si>
    <t>2023</t>
  </si>
  <si>
    <t>2019</t>
  </si>
  <si>
    <t>2022/2023</t>
  </si>
  <si>
    <t>2021/2022</t>
  </si>
  <si>
    <t>2020/2021</t>
  </si>
  <si>
    <t>2019/2020</t>
  </si>
  <si>
    <t>Horizontální analýza</t>
  </si>
  <si>
    <t>Dlouhodobý nehmotný majetek</t>
  </si>
  <si>
    <t>Dlouhodobý hmotný majetek</t>
  </si>
  <si>
    <t>Dlouhodobý finanční majetek</t>
  </si>
  <si>
    <t>Pohledávky</t>
  </si>
  <si>
    <t>Vertikální analýza</t>
  </si>
  <si>
    <t>Základní kapitál</t>
  </si>
  <si>
    <t>Ážio a kapitálové fondy</t>
  </si>
  <si>
    <t>VHML</t>
  </si>
  <si>
    <t>Rezervy</t>
  </si>
  <si>
    <t>Závazky</t>
  </si>
  <si>
    <t>Dlouhodobé závazky</t>
  </si>
  <si>
    <t>Rok</t>
  </si>
  <si>
    <t>Zkratka</t>
  </si>
  <si>
    <t>Finanční ukazatel</t>
  </si>
  <si>
    <t>Období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</si>
</sst>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\ [$Kč-405]"/>
    <numFmt numFmtId="167" formatCode="#,##0.00\ &quot;Kč&quot;"/>
    <numFmt numFmtId="170" formatCode="#,##0\ [$Kč-405];\-#,##0\ [$Kč-405]"/>
  </numFmts>
  <fonts count="6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6" tint="0.39997558519241921"/>
        <bgColor indexed="65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medium">
        <color indexed="64"/>
      </top>
      <bottom/>
      <diagonal/>
    </border>
  </borders>
  <cellStyleXfs count="2">
    <xf numFmtId="0" fontId="0" fillId="0" borderId="0"/>
    <xf numFmtId="0" fontId="5" fillId="4" borderId="0" applyNumberFormat="0" applyBorder="0" applyAlignment="0" applyProtection="0"/>
  </cellStyleXfs>
  <cellXfs count="35">
    <xf numFmtId="0" fontId="0" fillId="0" borderId="0" xfId="0"/>
    <xf numFmtId="0" fontId="0" fillId="0" borderId="7" xfId="0" applyBorder="1"/>
    <xf numFmtId="0" fontId="0" fillId="0" borderId="4" xfId="0" applyBorder="1"/>
    <xf numFmtId="0" fontId="0" fillId="0" borderId="6" xfId="0" applyBorder="1"/>
    <xf numFmtId="4" fontId="0" fillId="0" borderId="5" xfId="0" applyNumberFormat="1" applyBorder="1"/>
    <xf numFmtId="4" fontId="0" fillId="0" borderId="7" xfId="0" applyNumberFormat="1" applyBorder="1"/>
    <xf numFmtId="0" fontId="0" fillId="2" borderId="9" xfId="0" applyFill="1" applyBorder="1"/>
    <xf numFmtId="10" fontId="0" fillId="0" borderId="0" xfId="0" applyNumberFormat="1"/>
    <xf numFmtId="0" fontId="0" fillId="0" borderId="9" xfId="0" applyBorder="1"/>
    <xf numFmtId="0" fontId="4" fillId="0" borderId="0" xfId="0" applyFont="1"/>
    <xf numFmtId="0" fontId="4" fillId="2" borderId="9" xfId="0" applyFont="1" applyFill="1" applyBorder="1"/>
    <xf numFmtId="0" fontId="4" fillId="0" borderId="9" xfId="0" applyFont="1" applyBorder="1"/>
    <xf numFmtId="0" fontId="0" fillId="0" borderId="0" xfId="0" applyBorder="1"/>
    <xf numFmtId="0" fontId="0" fillId="0" borderId="5" xfId="0" applyBorder="1"/>
    <xf numFmtId="49" fontId="0" fillId="0" borderId="0" xfId="0" applyNumberFormat="1" applyBorder="1" applyAlignment="1">
      <alignment horizontal="right"/>
    </xf>
    <xf numFmtId="10" fontId="0" fillId="0" borderId="0" xfId="0" applyNumberFormat="1" applyBorder="1"/>
    <xf numFmtId="4" fontId="0" fillId="0" borderId="0" xfId="0" applyNumberFormat="1" applyBorder="1"/>
    <xf numFmtId="0" fontId="2" fillId="0" borderId="0" xfId="0" applyFont="1" applyBorder="1"/>
    <xf numFmtId="0" fontId="4" fillId="0" borderId="0" xfId="0" applyFont="1" applyAlignment="1">
      <alignment horizontal="center"/>
    </xf>
    <xf numFmtId="10" fontId="0" fillId="0" borderId="5" xfId="0" applyNumberFormat="1" applyBorder="1"/>
    <xf numFmtId="0" fontId="0" fillId="0" borderId="8" xfId="0" applyBorder="1"/>
    <xf numFmtId="0" fontId="4" fillId="4" borderId="1" xfId="1" applyFont="1" applyBorder="1" applyAlignment="1">
      <alignment horizontal="center" vertical="center"/>
    </xf>
    <xf numFmtId="0" fontId="4" fillId="4" borderId="4" xfId="1" applyFont="1" applyBorder="1" applyAlignment="1">
      <alignment horizontal="center" vertical="center"/>
    </xf>
    <xf numFmtId="0" fontId="4" fillId="4" borderId="2" xfId="1" applyFont="1" applyBorder="1" applyAlignment="1">
      <alignment horizontal="center" vertical="center"/>
    </xf>
    <xf numFmtId="0" fontId="4" fillId="4" borderId="0" xfId="1" applyFont="1" applyBorder="1" applyAlignment="1">
      <alignment horizontal="center" vertical="center"/>
    </xf>
    <xf numFmtId="0" fontId="4" fillId="4" borderId="2" xfId="1" applyFont="1" applyBorder="1" applyAlignment="1">
      <alignment horizontal="center"/>
    </xf>
    <xf numFmtId="0" fontId="4" fillId="4" borderId="3" xfId="1" applyFont="1" applyBorder="1" applyAlignment="1">
      <alignment horizontal="center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10" xfId="0" applyFont="1" applyFill="1" applyBorder="1"/>
    <xf numFmtId="0" fontId="4" fillId="0" borderId="0" xfId="0" applyFont="1" applyBorder="1"/>
    <xf numFmtId="0" fontId="0" fillId="2" borderId="0" xfId="0" applyFill="1" applyBorder="1"/>
    <xf numFmtId="166" fontId="0" fillId="0" borderId="0" xfId="0" applyNumberFormat="1" applyBorder="1"/>
    <xf numFmtId="167" fontId="0" fillId="0" borderId="0" xfId="0" applyNumberFormat="1" applyBorder="1"/>
    <xf numFmtId="170" fontId="0" fillId="0" borderId="0" xfId="0" applyNumberFormat="1" applyBorder="1"/>
  </cellXfs>
  <cellStyles count="2">
    <cellStyle name="60% - Accent3" xfId="1" builtinId="40"/>
    <cellStyle name="Normal" xfId="0" builtinId="0"/>
  </cellStyles>
  <dxfs count="11">
    <dxf>
      <numFmt numFmtId="170" formatCode="#,##0\ [$Kč-405];\-#,##0\ [$Kč-405]"/>
    </dxf>
    <dxf>
      <numFmt numFmtId="170" formatCode="#,##0\ [$Kč-405];\-#,##0\ [$Kč-405]"/>
    </dxf>
    <dxf>
      <numFmt numFmtId="170" formatCode="#,##0\ [$Kč-405];\-#,##0\ [$Kč-405]"/>
    </dxf>
    <dxf>
      <numFmt numFmtId="170" formatCode="#,##0\ [$Kč-405];\-#,##0\ [$Kč-405]"/>
    </dxf>
    <dxf>
      <numFmt numFmtId="170" formatCode="#,##0\ [$Kč-405];\-#,##0\ [$Kč-405]"/>
    </dxf>
    <dxf>
      <numFmt numFmtId="166" formatCode="#,##0\ [$Kč-405]"/>
    </dxf>
    <dxf>
      <numFmt numFmtId="166" formatCode="#,##0\ [$Kč-405]"/>
    </dxf>
    <dxf>
      <numFmt numFmtId="166" formatCode="#,##0\ [$Kč-405]"/>
    </dxf>
    <dxf>
      <numFmt numFmtId="166" formatCode="#,##0\ [$Kč-405]"/>
    </dxf>
    <dxf>
      <numFmt numFmtId="166" formatCode="#,##0\ [$Kč-405]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D0D21E-52F2-4D96-84D4-1EA55FE27B78}" name="Tabulka1" displayName="Tabulka1" ref="A1:H27" totalsRowShown="0">
  <autoFilter ref="A1:H27" xr:uid="{82D0D21E-52F2-4D96-84D4-1EA55FE27B78}"/>
  <tableColumns count="8">
    <tableColumn id="1" xr3:uid="{25AEA42C-53F0-49B0-B495-99D16D5BE0B0}" name="Index"/>
    <tableColumn id="2" xr3:uid="{0A5064F1-EBF8-4B70-BA14-2E69EEE7A29B}" name="Název"/>
    <tableColumn id="3" xr3:uid="{3EF7464B-5907-47D1-A067-17B890287BE1}" name="Kod"/>
    <tableColumn id="4" xr3:uid="{AC709054-0D4A-4ECB-A85B-2CBC53E9DCDC}" name="2023" dataDxfId="9"/>
    <tableColumn id="5" xr3:uid="{112B830F-FE8C-488B-B886-188F44765EFA}" name="2022" dataDxfId="8"/>
    <tableColumn id="6" xr3:uid="{4404E42E-43D0-4073-B863-7B50839ED289}" name="2021" dataDxfId="7"/>
    <tableColumn id="7" xr3:uid="{F2CFFCCA-D3CE-443F-B1FC-59D14CEB879A}" name="2020" dataDxfId="6"/>
    <tableColumn id="8" xr3:uid="{F900DC00-C17C-4705-A200-588E6C3125D1}" name="2019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866309-C7B6-44F7-87D5-B0FDE7C86013}" name="Table4" displayName="Table4" ref="B2:G25" totalsRowShown="0" headerRowDxfId="10">
  <autoFilter ref="B2:G25" xr:uid="{25866309-C7B6-44F7-87D5-B0FDE7C86013}"/>
  <tableColumns count="6">
    <tableColumn id="1" xr3:uid="{B0FB0C8F-6EEE-4E34-946D-FAD83299E08F}" name="Název"/>
    <tableColumn id="2" xr3:uid="{59E16862-763D-4BB8-A733-A7A756AA9B51}" name="2023" dataDxfId="4"/>
    <tableColumn id="3" xr3:uid="{F50193C0-EDAC-4E71-B75D-DD8181E43590}" name="2022" dataDxfId="3"/>
    <tableColumn id="4" xr3:uid="{D6DBE8BB-F68F-49BE-A4E5-8970CF9CC369}" name="2021" dataDxfId="2"/>
    <tableColumn id="5" xr3:uid="{5C12C320-03E8-415D-8A02-D313CD81BC69}" name="2020" dataDxfId="1"/>
    <tableColumn id="6" xr3:uid="{C5C18C7B-3388-4801-B754-BB8E99530225}" name="201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81961-7131-4149-B6D8-45C388F2B13C}">
  <dimension ref="A1:H55"/>
  <sheetViews>
    <sheetView tabSelected="1" workbookViewId="0">
      <selection activeCell="E58" sqref="E58"/>
    </sheetView>
  </sheetViews>
  <sheetFormatPr defaultRowHeight="14.4" x14ac:dyDescent="0.3"/>
  <cols>
    <col min="1" max="1" width="56" bestFit="1" customWidth="1"/>
    <col min="2" max="2" width="59.6640625" customWidth="1"/>
    <col min="3" max="3" width="15.6640625" customWidth="1"/>
    <col min="4" max="4" width="16.33203125" bestFit="1" customWidth="1"/>
    <col min="5" max="5" width="26" customWidth="1"/>
    <col min="6" max="6" width="27.44140625" customWidth="1"/>
    <col min="7" max="7" width="13.6640625" bestFit="1" customWidth="1"/>
    <col min="8" max="8" width="16.109375" bestFit="1" customWidth="1"/>
  </cols>
  <sheetData>
    <row r="1" spans="1:8" x14ac:dyDescent="0.3">
      <c r="A1" s="12" t="s">
        <v>97</v>
      </c>
      <c r="B1" s="12" t="s">
        <v>98</v>
      </c>
      <c r="C1" s="12" t="s">
        <v>99</v>
      </c>
      <c r="D1" s="12" t="s">
        <v>108</v>
      </c>
      <c r="E1" s="12" t="s">
        <v>94</v>
      </c>
      <c r="F1" s="12" t="s">
        <v>95</v>
      </c>
      <c r="G1" s="12" t="s">
        <v>96</v>
      </c>
      <c r="H1" s="12" t="s">
        <v>109</v>
      </c>
    </row>
    <row r="2" spans="1:8" x14ac:dyDescent="0.3">
      <c r="A2" s="14" t="s">
        <v>76</v>
      </c>
      <c r="B2" s="17" t="s">
        <v>38</v>
      </c>
      <c r="C2" s="12" t="s">
        <v>0</v>
      </c>
      <c r="D2" s="32">
        <v>30034000</v>
      </c>
      <c r="E2" s="32">
        <v>28437000</v>
      </c>
      <c r="F2" s="32">
        <v>36225912</v>
      </c>
      <c r="G2" s="32">
        <v>35471186</v>
      </c>
      <c r="H2" s="32">
        <v>38035650</v>
      </c>
    </row>
    <row r="3" spans="1:8" x14ac:dyDescent="0.3">
      <c r="A3" s="14" t="s">
        <v>77</v>
      </c>
      <c r="B3" s="12" t="s">
        <v>39</v>
      </c>
      <c r="C3" s="12" t="s">
        <v>1</v>
      </c>
      <c r="D3" s="32">
        <v>0</v>
      </c>
      <c r="E3" s="32">
        <v>0</v>
      </c>
      <c r="F3" s="32">
        <v>0</v>
      </c>
      <c r="G3" s="32">
        <v>0</v>
      </c>
      <c r="H3" s="32"/>
    </row>
    <row r="4" spans="1:8" x14ac:dyDescent="0.3">
      <c r="A4" s="14" t="s">
        <v>78</v>
      </c>
      <c r="B4" s="12" t="s">
        <v>40</v>
      </c>
      <c r="C4" s="12" t="s">
        <v>2</v>
      </c>
      <c r="D4" s="32">
        <v>22738000</v>
      </c>
      <c r="E4" s="32">
        <v>22948000</v>
      </c>
      <c r="F4" s="32">
        <v>26028964</v>
      </c>
      <c r="G4" s="32">
        <v>28926407</v>
      </c>
      <c r="H4" s="32">
        <v>31685490</v>
      </c>
    </row>
    <row r="5" spans="1:8" x14ac:dyDescent="0.3">
      <c r="A5" s="14"/>
      <c r="B5" s="12"/>
      <c r="C5" s="12"/>
      <c r="D5" s="32"/>
      <c r="E5" s="32"/>
      <c r="F5" s="32"/>
      <c r="G5" s="32"/>
      <c r="H5" s="32"/>
    </row>
    <row r="6" spans="1:8" x14ac:dyDescent="0.3">
      <c r="A6" s="14" t="s">
        <v>79</v>
      </c>
      <c r="B6" s="12" t="s">
        <v>41</v>
      </c>
      <c r="C6" s="12" t="s">
        <v>3</v>
      </c>
      <c r="D6" s="32">
        <v>5058000</v>
      </c>
      <c r="E6" s="32">
        <v>3124000</v>
      </c>
      <c r="F6" s="32">
        <v>7681478</v>
      </c>
      <c r="G6" s="32">
        <v>4151959</v>
      </c>
      <c r="H6" s="32">
        <v>3876987</v>
      </c>
    </row>
    <row r="7" spans="1:8" x14ac:dyDescent="0.3">
      <c r="A7" s="14" t="s">
        <v>80</v>
      </c>
      <c r="B7" s="12" t="s">
        <v>42</v>
      </c>
      <c r="C7" s="12" t="s">
        <v>4</v>
      </c>
      <c r="D7" s="32">
        <v>0</v>
      </c>
      <c r="E7" s="32">
        <v>0</v>
      </c>
      <c r="F7" s="32">
        <v>307</v>
      </c>
      <c r="G7" s="32">
        <v>872</v>
      </c>
      <c r="H7" s="32">
        <v>6605</v>
      </c>
    </row>
    <row r="8" spans="1:8" x14ac:dyDescent="0.3">
      <c r="A8" s="14" t="s">
        <v>81</v>
      </c>
      <c r="B8" s="12" t="s">
        <v>43</v>
      </c>
      <c r="C8" s="12" t="s">
        <v>5</v>
      </c>
      <c r="D8" s="32">
        <v>0</v>
      </c>
      <c r="E8" s="32">
        <v>0</v>
      </c>
      <c r="F8" s="32">
        <v>0</v>
      </c>
      <c r="G8" s="32">
        <v>0</v>
      </c>
      <c r="H8" s="32"/>
    </row>
    <row r="9" spans="1:8" x14ac:dyDescent="0.3">
      <c r="A9" s="14" t="s">
        <v>82</v>
      </c>
      <c r="B9" s="12" t="s">
        <v>44</v>
      </c>
      <c r="C9" s="12" t="s">
        <v>6</v>
      </c>
      <c r="D9" s="32">
        <v>4726000</v>
      </c>
      <c r="E9" s="32">
        <v>2613000</v>
      </c>
      <c r="F9" s="32">
        <v>7310177</v>
      </c>
      <c r="G9" s="32">
        <v>3812602</v>
      </c>
      <c r="H9" s="32">
        <v>3428307</v>
      </c>
    </row>
    <row r="10" spans="1:8" x14ac:dyDescent="0.3">
      <c r="A10" s="14" t="s">
        <v>83</v>
      </c>
      <c r="B10" s="12" t="s">
        <v>45</v>
      </c>
      <c r="C10" s="12" t="s">
        <v>7</v>
      </c>
      <c r="D10" s="32">
        <v>107000</v>
      </c>
      <c r="E10" s="32">
        <v>84000</v>
      </c>
      <c r="F10" s="32">
        <v>125457</v>
      </c>
      <c r="G10" s="32">
        <v>313130</v>
      </c>
      <c r="H10" s="32">
        <v>311373</v>
      </c>
    </row>
    <row r="11" spans="1:8" x14ac:dyDescent="0.3">
      <c r="A11" s="14" t="s">
        <v>84</v>
      </c>
      <c r="B11" s="12" t="s">
        <v>46</v>
      </c>
      <c r="C11" s="12" t="s">
        <v>8</v>
      </c>
      <c r="D11" s="32">
        <v>0</v>
      </c>
      <c r="E11" s="32">
        <v>0</v>
      </c>
      <c r="F11" s="32">
        <v>0</v>
      </c>
      <c r="G11" s="32">
        <v>0</v>
      </c>
      <c r="H11" s="32"/>
    </row>
    <row r="12" spans="1:8" x14ac:dyDescent="0.3">
      <c r="A12" s="14" t="s">
        <v>85</v>
      </c>
      <c r="B12" s="12" t="s">
        <v>47</v>
      </c>
      <c r="C12" s="12" t="s">
        <v>9</v>
      </c>
      <c r="D12" s="32">
        <v>332000</v>
      </c>
      <c r="E12" s="32">
        <v>511000</v>
      </c>
      <c r="F12" s="32">
        <v>370994</v>
      </c>
      <c r="G12" s="32">
        <v>338485</v>
      </c>
      <c r="H12" s="32">
        <v>442075</v>
      </c>
    </row>
    <row r="13" spans="1:8" x14ac:dyDescent="0.3">
      <c r="A13" s="14" t="s">
        <v>107</v>
      </c>
      <c r="B13" s="12" t="s">
        <v>48</v>
      </c>
      <c r="C13" s="12" t="s">
        <v>10</v>
      </c>
      <c r="D13" s="32">
        <v>2238000</v>
      </c>
      <c r="E13" s="32">
        <v>2365000</v>
      </c>
      <c r="F13" s="32">
        <v>2515470</v>
      </c>
      <c r="G13" s="32">
        <v>2392820</v>
      </c>
      <c r="H13" s="32">
        <v>2473173</v>
      </c>
    </row>
    <row r="14" spans="1:8" x14ac:dyDescent="0.3">
      <c r="A14" s="14"/>
      <c r="B14" s="12"/>
      <c r="C14" s="12"/>
      <c r="D14" s="32"/>
      <c r="E14" s="32"/>
      <c r="F14" s="32"/>
      <c r="G14" s="32"/>
      <c r="H14" s="32"/>
    </row>
    <row r="15" spans="1:8" x14ac:dyDescent="0.3">
      <c r="A15" s="14" t="s">
        <v>86</v>
      </c>
      <c r="B15" s="17" t="s">
        <v>49</v>
      </c>
      <c r="C15" s="12" t="s">
        <v>11</v>
      </c>
      <c r="D15" s="32">
        <v>30034000</v>
      </c>
      <c r="E15" s="32">
        <v>28437000</v>
      </c>
      <c r="F15" s="32">
        <v>36225912</v>
      </c>
      <c r="G15" s="32">
        <v>35471186</v>
      </c>
      <c r="H15" s="32">
        <v>38035650</v>
      </c>
    </row>
    <row r="16" spans="1:8" x14ac:dyDescent="0.3">
      <c r="A16" s="14" t="s">
        <v>87</v>
      </c>
      <c r="B16" s="12" t="s">
        <v>50</v>
      </c>
      <c r="C16" s="12" t="s">
        <v>12</v>
      </c>
      <c r="D16" s="32">
        <v>6707000</v>
      </c>
      <c r="E16" s="32">
        <v>5308000</v>
      </c>
      <c r="F16" s="32">
        <v>6218714</v>
      </c>
      <c r="G16" s="32">
        <v>6408662</v>
      </c>
      <c r="H16" s="32">
        <v>6908307</v>
      </c>
    </row>
    <row r="17" spans="1:8" x14ac:dyDescent="0.3">
      <c r="A17" s="14" t="s">
        <v>88</v>
      </c>
      <c r="B17" s="12" t="s">
        <v>51</v>
      </c>
      <c r="C17" s="12" t="s">
        <v>13</v>
      </c>
      <c r="D17" s="32">
        <v>12224000</v>
      </c>
      <c r="E17" s="32">
        <v>12404000</v>
      </c>
      <c r="F17" s="32">
        <v>19911447</v>
      </c>
      <c r="G17" s="32">
        <v>18665299</v>
      </c>
      <c r="H17" s="32">
        <v>21404754</v>
      </c>
    </row>
    <row r="18" spans="1:8" x14ac:dyDescent="0.3">
      <c r="A18" s="14" t="s">
        <v>89</v>
      </c>
      <c r="B18" s="12" t="s">
        <v>52</v>
      </c>
      <c r="C18" s="12" t="s">
        <v>14</v>
      </c>
      <c r="D18" s="32">
        <v>9447000</v>
      </c>
      <c r="E18" s="32">
        <v>9542000</v>
      </c>
      <c r="F18" s="32">
        <v>17071989</v>
      </c>
      <c r="G18" s="32">
        <v>15723456</v>
      </c>
      <c r="H18" s="32">
        <v>18315203</v>
      </c>
    </row>
    <row r="19" spans="1:8" x14ac:dyDescent="0.3">
      <c r="A19" s="14" t="s">
        <v>90</v>
      </c>
      <c r="B19" s="12" t="s">
        <v>53</v>
      </c>
      <c r="C19" s="12" t="s">
        <v>15</v>
      </c>
      <c r="D19" s="32">
        <v>1474000</v>
      </c>
      <c r="E19" s="32">
        <v>317000</v>
      </c>
      <c r="F19" s="32">
        <v>1089013</v>
      </c>
      <c r="G19" s="32">
        <v>722243</v>
      </c>
      <c r="H19" s="32">
        <v>236356</v>
      </c>
    </row>
    <row r="20" spans="1:8" x14ac:dyDescent="0.3">
      <c r="A20" s="14" t="s">
        <v>91</v>
      </c>
      <c r="B20" s="12" t="s">
        <v>54</v>
      </c>
      <c r="C20" s="12" t="s">
        <v>16</v>
      </c>
      <c r="D20" s="32">
        <v>11103000</v>
      </c>
      <c r="E20" s="32">
        <v>10725000</v>
      </c>
      <c r="F20" s="32">
        <v>10095751</v>
      </c>
      <c r="G20" s="32">
        <v>10397225</v>
      </c>
      <c r="H20" s="32">
        <v>9722589</v>
      </c>
    </row>
    <row r="21" spans="1:8" x14ac:dyDescent="0.3">
      <c r="A21" s="12"/>
      <c r="B21" s="12"/>
      <c r="C21" s="12"/>
      <c r="D21" s="32"/>
      <c r="E21" s="32"/>
      <c r="F21" s="32"/>
      <c r="G21" s="32"/>
      <c r="H21" s="32"/>
    </row>
    <row r="22" spans="1:8" x14ac:dyDescent="0.3">
      <c r="A22" s="14" t="s">
        <v>92</v>
      </c>
      <c r="B22" s="12" t="s">
        <v>55</v>
      </c>
      <c r="C22" s="12" t="s">
        <v>17</v>
      </c>
      <c r="D22" s="32">
        <v>4683000</v>
      </c>
      <c r="E22" s="32">
        <v>18944000</v>
      </c>
      <c r="F22" s="32">
        <v>19489022</v>
      </c>
      <c r="G22" s="32">
        <v>19010160</v>
      </c>
      <c r="H22" s="32">
        <v>16874209</v>
      </c>
    </row>
    <row r="23" spans="1:8" x14ac:dyDescent="0.3">
      <c r="A23" s="12"/>
      <c r="B23" s="12" t="s">
        <v>56</v>
      </c>
      <c r="C23" s="12" t="s">
        <v>18</v>
      </c>
      <c r="D23" s="32">
        <v>3016000</v>
      </c>
      <c r="E23" s="32">
        <v>14972000</v>
      </c>
      <c r="F23" s="32">
        <v>13887558</v>
      </c>
      <c r="G23" s="32">
        <v>13406928</v>
      </c>
      <c r="H23" s="32"/>
    </row>
    <row r="24" spans="1:8" x14ac:dyDescent="0.3">
      <c r="A24" s="12">
        <v>43</v>
      </c>
      <c r="B24" s="12" t="s">
        <v>57</v>
      </c>
      <c r="C24" s="12" t="s">
        <v>19</v>
      </c>
      <c r="D24" s="32"/>
      <c r="E24" s="32"/>
      <c r="F24" s="32"/>
      <c r="G24" s="32"/>
      <c r="H24" s="32"/>
    </row>
    <row r="25" spans="1:8" x14ac:dyDescent="0.3">
      <c r="A25" s="12">
        <v>53</v>
      </c>
      <c r="B25" s="12" t="s">
        <v>58</v>
      </c>
      <c r="C25" s="12" t="s">
        <v>20</v>
      </c>
      <c r="D25" s="32">
        <v>1338000</v>
      </c>
      <c r="E25" s="32">
        <v>3180000</v>
      </c>
      <c r="F25" s="32">
        <v>4482705</v>
      </c>
      <c r="G25" s="32">
        <v>4516627</v>
      </c>
      <c r="H25" s="32"/>
    </row>
    <row r="26" spans="1:8" x14ac:dyDescent="0.3">
      <c r="A26" s="12">
        <v>49</v>
      </c>
      <c r="B26" s="12" t="s">
        <v>59</v>
      </c>
      <c r="C26" s="12" t="s">
        <v>21</v>
      </c>
      <c r="D26" s="32">
        <v>1667000</v>
      </c>
      <c r="E26" s="32">
        <v>3972000</v>
      </c>
      <c r="F26" s="32">
        <v>5601464</v>
      </c>
      <c r="G26" s="32">
        <v>5603232</v>
      </c>
      <c r="H26" s="32"/>
    </row>
    <row r="27" spans="1:8" x14ac:dyDescent="0.3">
      <c r="A27" s="12" t="s">
        <v>93</v>
      </c>
      <c r="B27" s="12" t="s">
        <v>60</v>
      </c>
      <c r="C27" s="12" t="s">
        <v>22</v>
      </c>
      <c r="D27" s="32">
        <f>D26+D24</f>
        <v>1667000</v>
      </c>
      <c r="E27" s="32">
        <f>E26+E24</f>
        <v>3972000</v>
      </c>
      <c r="F27" s="32">
        <f>F26+F24</f>
        <v>5601464</v>
      </c>
      <c r="G27" s="32">
        <f>G26+G24</f>
        <v>5603232</v>
      </c>
      <c r="H27" s="32"/>
    </row>
    <row r="28" spans="1:8" ht="15" thickBot="1" x14ac:dyDescent="0.35"/>
    <row r="29" spans="1:8" x14ac:dyDescent="0.3">
      <c r="A29" s="21" t="s">
        <v>128</v>
      </c>
      <c r="B29" s="23" t="s">
        <v>127</v>
      </c>
      <c r="C29" s="25" t="s">
        <v>126</v>
      </c>
      <c r="D29" s="25"/>
      <c r="E29" s="25"/>
      <c r="F29" s="26"/>
    </row>
    <row r="30" spans="1:8" x14ac:dyDescent="0.3">
      <c r="A30" s="22"/>
      <c r="B30" s="24"/>
      <c r="C30" s="12">
        <v>2023</v>
      </c>
      <c r="D30" s="12">
        <v>2022</v>
      </c>
      <c r="E30" s="12">
        <v>2021</v>
      </c>
      <c r="F30" s="13">
        <v>2020</v>
      </c>
    </row>
    <row r="31" spans="1:8" x14ac:dyDescent="0.3">
      <c r="A31" s="2" t="s">
        <v>61</v>
      </c>
      <c r="B31" s="12" t="s">
        <v>23</v>
      </c>
      <c r="C31" s="15">
        <f>D25/B49</f>
        <v>4.5766277299858049E-2</v>
      </c>
      <c r="D31" s="15">
        <f>E25/C49</f>
        <v>9.8356226208927922E-2</v>
      </c>
      <c r="E31" s="15">
        <f>F25/D49</f>
        <v>0.12504564689633602</v>
      </c>
      <c r="F31" s="19">
        <f>G25/E49</f>
        <v>0.12288998536136149</v>
      </c>
    </row>
    <row r="32" spans="1:8" x14ac:dyDescent="0.3">
      <c r="A32" s="2" t="s">
        <v>62</v>
      </c>
      <c r="B32" s="12" t="s">
        <v>24</v>
      </c>
      <c r="C32" s="15">
        <f>D27/B49</f>
        <v>5.701971917702793E-2</v>
      </c>
      <c r="D32" s="15">
        <f>E27/C49</f>
        <v>0.12285249386850998</v>
      </c>
      <c r="E32" s="15">
        <f>F27/D49</f>
        <v>0.15625357667893336</v>
      </c>
      <c r="F32" s="19">
        <f>G27/E49</f>
        <v>0.15245471863324386</v>
      </c>
    </row>
    <row r="33" spans="1:7" x14ac:dyDescent="0.3">
      <c r="A33" s="2" t="s">
        <v>63</v>
      </c>
      <c r="B33" s="12" t="s">
        <v>25</v>
      </c>
      <c r="C33" s="15">
        <f>D25/B50</f>
        <v>0.22272159800249688</v>
      </c>
      <c r="D33" s="15">
        <f>E25/C50</f>
        <v>0.55176175968276819</v>
      </c>
      <c r="E33" s="15">
        <f>F25/D50</f>
        <v>0.70999786495626649</v>
      </c>
      <c r="F33" s="19">
        <f>G25/E50</f>
        <v>0.67832657716632061</v>
      </c>
    </row>
    <row r="34" spans="1:7" x14ac:dyDescent="0.3">
      <c r="A34" s="2" t="s">
        <v>64</v>
      </c>
      <c r="B34" s="12" t="s">
        <v>26</v>
      </c>
      <c r="C34" s="15">
        <f>D25/D22</f>
        <v>0.2857142857142857</v>
      </c>
      <c r="D34" s="15">
        <f>E25/E22</f>
        <v>0.16786317567567569</v>
      </c>
      <c r="E34" s="15">
        <f>F25/F22</f>
        <v>0.23001179843708935</v>
      </c>
      <c r="F34" s="19">
        <f>G25/G22</f>
        <v>0.23759016231320515</v>
      </c>
    </row>
    <row r="35" spans="1:7" x14ac:dyDescent="0.3">
      <c r="A35" s="2" t="s">
        <v>65</v>
      </c>
      <c r="B35" s="12" t="s">
        <v>27</v>
      </c>
      <c r="C35" s="15">
        <f>D23/D22</f>
        <v>0.64403160367285928</v>
      </c>
      <c r="D35" s="15">
        <f>E23/E22</f>
        <v>0.79032939189189189</v>
      </c>
      <c r="E35" s="15">
        <f>F23/F22</f>
        <v>0.71258362784956575</v>
      </c>
      <c r="F35" s="19">
        <f>G23/G22</f>
        <v>0.70525066595967634</v>
      </c>
    </row>
    <row r="36" spans="1:7" x14ac:dyDescent="0.3">
      <c r="A36" s="2" t="s">
        <v>66</v>
      </c>
      <c r="B36" s="12" t="s">
        <v>28</v>
      </c>
      <c r="C36" s="16">
        <f>B49/B54</f>
        <v>2278.6584454409567</v>
      </c>
      <c r="D36" s="16">
        <f>C49/C54</f>
        <v>622.94032094594593</v>
      </c>
      <c r="E36" s="16">
        <f>D49/D54</f>
        <v>671.3892767425682</v>
      </c>
      <c r="F36" s="4">
        <f>E49/E54</f>
        <v>705.67515318124629</v>
      </c>
    </row>
    <row r="37" spans="1:7" x14ac:dyDescent="0.3">
      <c r="A37" s="2" t="s">
        <v>67</v>
      </c>
      <c r="B37" s="12" t="s">
        <v>29</v>
      </c>
      <c r="C37" s="16">
        <f>B51/B54</f>
        <v>0</v>
      </c>
      <c r="D37" s="16">
        <f>C51/C54</f>
        <v>2.9575327280405403E-3</v>
      </c>
      <c r="E37" s="16">
        <f>D51/D54</f>
        <v>1.1040446257385312E-2</v>
      </c>
      <c r="F37" s="4">
        <f>E51/E54</f>
        <v>7.1780169130612262E-2</v>
      </c>
    </row>
    <row r="38" spans="1:7" x14ac:dyDescent="0.3">
      <c r="A38" s="2" t="s">
        <v>68</v>
      </c>
      <c r="B38" s="12" t="s">
        <v>30</v>
      </c>
      <c r="C38" s="16">
        <f>B52/B54</f>
        <v>7.4434123425154812</v>
      </c>
      <c r="D38" s="16">
        <f>C52/C54</f>
        <v>2.0178369140624999</v>
      </c>
      <c r="E38" s="16">
        <f>D52/D54</f>
        <v>4.1070366435011465</v>
      </c>
      <c r="F38" s="4">
        <f>E52/E54</f>
        <v>5.9953097448943096</v>
      </c>
    </row>
    <row r="39" spans="1:7" x14ac:dyDescent="0.3">
      <c r="A39" s="2" t="s">
        <v>69</v>
      </c>
      <c r="B39" s="12" t="s">
        <v>31</v>
      </c>
      <c r="C39" s="16">
        <f>B53/B54</f>
        <v>69.796604740550933</v>
      </c>
      <c r="D39" s="16">
        <f>C53/C54</f>
        <v>13.54504711254223</v>
      </c>
      <c r="E39" s="16">
        <f>D53/D54</f>
        <v>16.961047096154953</v>
      </c>
      <c r="F39" s="4">
        <f>E53/E54</f>
        <v>9.2026746487141615</v>
      </c>
    </row>
    <row r="40" spans="1:7" x14ac:dyDescent="0.3">
      <c r="A40" s="2" t="s">
        <v>70</v>
      </c>
      <c r="B40" s="12" t="s">
        <v>32</v>
      </c>
      <c r="C40" s="16">
        <f>C38-C39</f>
        <v>-62.353192398035453</v>
      </c>
      <c r="D40" s="16">
        <f>D38-D39</f>
        <v>-11.527210198479731</v>
      </c>
      <c r="E40" s="16">
        <f>E38-E39</f>
        <v>-12.854010452653807</v>
      </c>
      <c r="F40" s="4">
        <f>F38-F39</f>
        <v>-3.207364903819852</v>
      </c>
    </row>
    <row r="41" spans="1:7" x14ac:dyDescent="0.3">
      <c r="A41" s="2" t="s">
        <v>71</v>
      </c>
      <c r="B41" s="12" t="s">
        <v>33</v>
      </c>
      <c r="C41" s="15">
        <f>(D7+D9+D11+D12+D13)/(D18+D20)</f>
        <v>0.35503649635036494</v>
      </c>
      <c r="D41" s="15">
        <f>(E7+E9+E11+E12+E13)/(E18+E20)</f>
        <v>0.27083436127695271</v>
      </c>
      <c r="E41" s="15">
        <f>(F7+F9+F11+F12+F13)/(F18+F20)</f>
        <v>0.37533295003559369</v>
      </c>
      <c r="F41" s="19">
        <f>(G7+G9+G11+G12+G13)/(G18+G20)</f>
        <v>0.25055927906320669</v>
      </c>
    </row>
    <row r="42" spans="1:7" x14ac:dyDescent="0.3">
      <c r="A42" s="2" t="s">
        <v>72</v>
      </c>
      <c r="B42" s="12" t="s">
        <v>34</v>
      </c>
      <c r="C42" s="15">
        <f>(D9+D11+D12+D13)/(D18+D20)</f>
        <v>0.35503649635036494</v>
      </c>
      <c r="D42" s="15">
        <f>(E9+E11+E12+E13)/(E18+E20)</f>
        <v>0.27083436127695271</v>
      </c>
      <c r="E42" s="15">
        <f>(F9+F11+F12+F13)/(F18+F20)</f>
        <v>0.37532164986855732</v>
      </c>
      <c r="F42" s="19">
        <f>(G9+G11+G12+G13)/(G18+G20)</f>
        <v>0.25052589555379512</v>
      </c>
    </row>
    <row r="43" spans="1:7" x14ac:dyDescent="0.3">
      <c r="A43" s="2" t="s">
        <v>73</v>
      </c>
      <c r="B43" s="12" t="s">
        <v>35</v>
      </c>
      <c r="C43" s="15">
        <f>(D11+D12)/(D18+D20)</f>
        <v>1.6155717761557178E-2</v>
      </c>
      <c r="D43" s="15">
        <f>(E11+E12)/(E18+E20)</f>
        <v>2.521340109537672E-2</v>
      </c>
      <c r="E43" s="15">
        <f>(F11+F12)/(F18+F20)</f>
        <v>1.3655681333817241E-2</v>
      </c>
      <c r="F43" s="19">
        <f>(G11+G12)/(G18+G20)</f>
        <v>1.295850594400659E-2</v>
      </c>
    </row>
    <row r="44" spans="1:7" x14ac:dyDescent="0.3">
      <c r="A44" s="2" t="s">
        <v>74</v>
      </c>
      <c r="B44" s="12" t="s">
        <v>36</v>
      </c>
      <c r="C44" s="15">
        <f>1-B55</f>
        <v>0.77668642205500427</v>
      </c>
      <c r="D44" s="15">
        <f>1-C55</f>
        <v>0.81334177304216337</v>
      </c>
      <c r="E44" s="15">
        <f>1-D55</f>
        <v>0.82833519829673308</v>
      </c>
      <c r="F44" s="19">
        <f>1-E55</f>
        <v>0.81932766499546983</v>
      </c>
    </row>
    <row r="45" spans="1:7" ht="15" thickBot="1" x14ac:dyDescent="0.35">
      <c r="A45" s="3" t="s">
        <v>75</v>
      </c>
      <c r="B45" s="1" t="s">
        <v>37</v>
      </c>
      <c r="C45" s="5" t="e">
        <f>D27/D24</f>
        <v>#DIV/0!</v>
      </c>
      <c r="D45" s="5" t="e">
        <f>E27/E24</f>
        <v>#DIV/0!</v>
      </c>
      <c r="E45" s="1"/>
      <c r="F45" s="20"/>
      <c r="G45" s="12"/>
    </row>
    <row r="46" spans="1:7" x14ac:dyDescent="0.3">
      <c r="G46" s="12"/>
    </row>
    <row r="47" spans="1:7" x14ac:dyDescent="0.3">
      <c r="G47" s="12"/>
    </row>
    <row r="48" spans="1:7" x14ac:dyDescent="0.3">
      <c r="A48" s="12"/>
      <c r="B48" s="12">
        <v>2023</v>
      </c>
      <c r="C48" s="12">
        <v>2022</v>
      </c>
      <c r="D48" s="12">
        <v>2021</v>
      </c>
      <c r="E48" s="12">
        <v>2020</v>
      </c>
      <c r="G48" s="12"/>
    </row>
    <row r="49" spans="1:7" x14ac:dyDescent="0.3">
      <c r="A49" s="12" t="s">
        <v>100</v>
      </c>
      <c r="B49" s="33">
        <f>(D2+E2)/2</f>
        <v>29235500</v>
      </c>
      <c r="C49" s="33">
        <f>(E2+F2)/2</f>
        <v>32331456</v>
      </c>
      <c r="D49" s="33">
        <f>(F2+G2)/2</f>
        <v>35848549</v>
      </c>
      <c r="E49" s="33">
        <f>(G2+H2)/2</f>
        <v>36753418</v>
      </c>
      <c r="G49" s="12"/>
    </row>
    <row r="50" spans="1:7" x14ac:dyDescent="0.3">
      <c r="A50" s="12" t="s">
        <v>101</v>
      </c>
      <c r="B50" s="33">
        <f>(D16+E16)/2</f>
        <v>6007500</v>
      </c>
      <c r="C50" s="33">
        <f>(E16+F16)/2</f>
        <v>5763357</v>
      </c>
      <c r="D50" s="33">
        <f>(F16+G16)/2</f>
        <v>6313688</v>
      </c>
      <c r="E50" s="33">
        <f>(G16+H16)/2</f>
        <v>6658484.5</v>
      </c>
      <c r="G50" s="12"/>
    </row>
    <row r="51" spans="1:7" x14ac:dyDescent="0.3">
      <c r="A51" s="12" t="s">
        <v>102</v>
      </c>
      <c r="B51" s="33">
        <f>(D7+E7)/2</f>
        <v>0</v>
      </c>
      <c r="C51" s="33">
        <f>(E7+F7)/2</f>
        <v>153.5</v>
      </c>
      <c r="D51" s="33">
        <f>(F7+G7)/2</f>
        <v>589.5</v>
      </c>
      <c r="E51" s="33">
        <f>(G7+H7)/2</f>
        <v>3738.5</v>
      </c>
      <c r="G51" s="12"/>
    </row>
    <row r="52" spans="1:7" x14ac:dyDescent="0.3">
      <c r="A52" s="12" t="s">
        <v>103</v>
      </c>
      <c r="B52" s="33">
        <f>(D10+E10)/2</f>
        <v>95500</v>
      </c>
      <c r="C52" s="33">
        <f>(E10+F10)/2</f>
        <v>104728.5</v>
      </c>
      <c r="D52" s="33">
        <f>(F10+G10)/2</f>
        <v>219293.5</v>
      </c>
      <c r="E52" s="33">
        <f>(G10+H10)/2</f>
        <v>312251.5</v>
      </c>
      <c r="G52" s="12"/>
    </row>
    <row r="53" spans="1:7" x14ac:dyDescent="0.3">
      <c r="A53" s="12" t="s">
        <v>104</v>
      </c>
      <c r="B53" s="33">
        <f>(D19+E19)/2</f>
        <v>895500</v>
      </c>
      <c r="C53" s="33">
        <f>(E19+F19)/2</f>
        <v>703006.5</v>
      </c>
      <c r="D53" s="33">
        <f>(F19+G19)/2</f>
        <v>905628</v>
      </c>
      <c r="E53" s="33">
        <f>(G19+H19)/2</f>
        <v>479299.5</v>
      </c>
      <c r="G53" s="12"/>
    </row>
    <row r="54" spans="1:7" x14ac:dyDescent="0.3">
      <c r="A54" s="12" t="s">
        <v>106</v>
      </c>
      <c r="B54" s="33">
        <f>D22/365</f>
        <v>12830.13698630137</v>
      </c>
      <c r="C54" s="33">
        <f>E22/365</f>
        <v>51901.369863013701</v>
      </c>
      <c r="D54" s="33">
        <f>F22/365</f>
        <v>53394.580821917807</v>
      </c>
      <c r="E54" s="33">
        <f>G22/365</f>
        <v>52082.630136986299</v>
      </c>
    </row>
    <row r="55" spans="1:7" x14ac:dyDescent="0.3">
      <c r="A55" s="12" t="s">
        <v>105</v>
      </c>
      <c r="B55" s="16">
        <f>D16/D15</f>
        <v>0.22331357794499568</v>
      </c>
      <c r="C55" s="16">
        <f>E16/E15</f>
        <v>0.18665822695783663</v>
      </c>
      <c r="D55" s="16">
        <f>F16/F15</f>
        <v>0.17166480170326698</v>
      </c>
      <c r="E55" s="16">
        <f>G16/G15</f>
        <v>0.18067233500453014</v>
      </c>
    </row>
  </sheetData>
  <mergeCells count="3">
    <mergeCell ref="C29:F29"/>
    <mergeCell ref="B29:B30"/>
    <mergeCell ref="A29:A30"/>
  </mergeCells>
  <phoneticPr fontId="1" type="noConversion"/>
  <pageMargins left="0.7" right="0.7" top="0.78740157499999996" bottom="0.78740157499999996" header="0.3" footer="0.3"/>
  <pageSetup paperSize="9" orientation="portrait" r:id="rId1"/>
  <ignoredErrors>
    <ignoredError sqref="A6:A20 A2:A4" numberStoredAsText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335BD-2ADF-4905-A0C3-D89378654C54}">
  <dimension ref="B1:M54"/>
  <sheetViews>
    <sheetView workbookViewId="0">
      <selection activeCell="H6" sqref="H6"/>
    </sheetView>
  </sheetViews>
  <sheetFormatPr defaultRowHeight="14.4" x14ac:dyDescent="0.3"/>
  <cols>
    <col min="2" max="2" width="28.44140625" customWidth="1"/>
    <col min="3" max="3" width="15.77734375" customWidth="1"/>
    <col min="4" max="4" width="16" customWidth="1"/>
    <col min="5" max="5" width="16.5546875" customWidth="1"/>
    <col min="6" max="6" width="16.109375" customWidth="1"/>
    <col min="7" max="7" width="18.109375" customWidth="1"/>
    <col min="9" max="9" width="27" bestFit="1" customWidth="1"/>
    <col min="10" max="10" width="9.88671875" bestFit="1" customWidth="1"/>
    <col min="11" max="13" width="9.77734375" bestFit="1" customWidth="1"/>
  </cols>
  <sheetData>
    <row r="1" spans="2:13" x14ac:dyDescent="0.3">
      <c r="I1" t="s">
        <v>114</v>
      </c>
      <c r="J1" s="18" t="s">
        <v>129</v>
      </c>
      <c r="K1" s="18"/>
      <c r="L1" s="18"/>
      <c r="M1" s="18"/>
    </row>
    <row r="2" spans="2:13" x14ac:dyDescent="0.3">
      <c r="B2" t="s">
        <v>98</v>
      </c>
      <c r="C2" s="27" t="s">
        <v>108</v>
      </c>
      <c r="D2" s="27" t="s">
        <v>94</v>
      </c>
      <c r="E2" s="28" t="s">
        <v>95</v>
      </c>
      <c r="F2" s="27" t="s">
        <v>96</v>
      </c>
      <c r="G2" s="29" t="s">
        <v>109</v>
      </c>
      <c r="I2" s="9" t="s">
        <v>98</v>
      </c>
      <c r="J2" t="s">
        <v>110</v>
      </c>
      <c r="K2" t="s">
        <v>111</v>
      </c>
      <c r="L2" t="s">
        <v>112</v>
      </c>
      <c r="M2" t="s">
        <v>113</v>
      </c>
    </row>
    <row r="3" spans="2:13" x14ac:dyDescent="0.3">
      <c r="B3" s="30" t="s">
        <v>38</v>
      </c>
      <c r="C3" s="34">
        <v>30034000</v>
      </c>
      <c r="D3" s="34">
        <v>28437000</v>
      </c>
      <c r="E3" s="34">
        <v>36225912</v>
      </c>
      <c r="F3" s="34">
        <v>35471186</v>
      </c>
      <c r="G3" s="34">
        <v>38035650</v>
      </c>
      <c r="I3" t="s">
        <v>38</v>
      </c>
      <c r="J3" s="7">
        <f>(Table4[[#This Row],[2023]]-Table4[[#This Row],[2022]])/Table4[[#This Row],[2022]]</f>
        <v>5.6159229173260189E-2</v>
      </c>
      <c r="K3" s="7">
        <f>(Table4[[#This Row],[2022]]-Table4[[#This Row],[2021]])/Table4[[#This Row],[2021]]</f>
        <v>-0.21500941094319448</v>
      </c>
      <c r="L3" s="7">
        <f>(Table4[[#This Row],[2021]]-Table4[[#This Row],[2020]])/Table4[[#This Row],[2020]]</f>
        <v>2.1277157183298017E-2</v>
      </c>
      <c r="M3" s="7">
        <f>(Table4[[#This Row],[2020]]-Table4[[#This Row],[2019]])/Table4[[#This Row],[2019]]</f>
        <v>-6.7422641653291052E-2</v>
      </c>
    </row>
    <row r="4" spans="2:13" x14ac:dyDescent="0.3">
      <c r="B4" s="12" t="s">
        <v>40</v>
      </c>
      <c r="C4" s="34">
        <v>22738000</v>
      </c>
      <c r="D4" s="34">
        <v>22948000</v>
      </c>
      <c r="E4" s="34">
        <v>26028964</v>
      </c>
      <c r="F4" s="34">
        <v>28926407</v>
      </c>
      <c r="G4" s="34">
        <v>31685490</v>
      </c>
      <c r="I4" t="s">
        <v>40</v>
      </c>
      <c r="J4" s="7">
        <f>(Table4[[#This Row],[2023]]-Table4[[#This Row],[2022]])/Table4[[#This Row],[2022]]</f>
        <v>-9.1511242809830928E-3</v>
      </c>
      <c r="K4" s="7">
        <f>(Table4[[#This Row],[2022]]-Table4[[#This Row],[2021]])/Table4[[#This Row],[2021]]</f>
        <v>-0.11836675481974619</v>
      </c>
      <c r="L4" s="7">
        <f>(Table4[[#This Row],[2021]]-Table4[[#This Row],[2020]])/Table4[[#This Row],[2020]]</f>
        <v>-0.10016601785351358</v>
      </c>
      <c r="M4" s="7">
        <f>(Table4[[#This Row],[2020]]-Table4[[#This Row],[2019]])/Table4[[#This Row],[2019]]</f>
        <v>-8.7077176335287859E-2</v>
      </c>
    </row>
    <row r="5" spans="2:13" x14ac:dyDescent="0.3">
      <c r="B5" s="12" t="s">
        <v>115</v>
      </c>
      <c r="C5" s="34">
        <v>785000</v>
      </c>
      <c r="D5" s="34">
        <v>243000</v>
      </c>
      <c r="E5" s="34">
        <v>300252</v>
      </c>
      <c r="F5" s="34">
        <v>282051</v>
      </c>
      <c r="G5" s="34">
        <v>290800</v>
      </c>
      <c r="I5" t="s">
        <v>115</v>
      </c>
      <c r="J5" s="7">
        <f>(Table4[[#This Row],[2023]]-Table4[[#This Row],[2022]])/Table4[[#This Row],[2022]]</f>
        <v>2.2304526748971192</v>
      </c>
      <c r="K5" s="7">
        <f>(Table4[[#This Row],[2022]]-Table4[[#This Row],[2021]])/Table4[[#This Row],[2021]]</f>
        <v>-0.19067982894368729</v>
      </c>
      <c r="L5" s="7">
        <f>(Table4[[#This Row],[2021]]-Table4[[#This Row],[2020]])/Table4[[#This Row],[2020]]</f>
        <v>6.4530882712700896E-2</v>
      </c>
      <c r="M5" s="7">
        <f>(Table4[[#This Row],[2020]]-Table4[[#This Row],[2019]])/Table4[[#This Row],[2019]]</f>
        <v>-3.0085969738651994E-2</v>
      </c>
    </row>
    <row r="6" spans="2:13" x14ac:dyDescent="0.3">
      <c r="B6" s="12" t="s">
        <v>116</v>
      </c>
      <c r="C6" s="34">
        <v>21778000</v>
      </c>
      <c r="D6" s="34">
        <v>22531000</v>
      </c>
      <c r="E6" s="34">
        <v>25530565</v>
      </c>
      <c r="F6" s="34">
        <v>28441492</v>
      </c>
      <c r="G6" s="34">
        <v>31258752</v>
      </c>
      <c r="I6" t="s">
        <v>116</v>
      </c>
      <c r="J6" s="7">
        <f>(Table4[[#This Row],[2023]]-Table4[[#This Row],[2022]])/Table4[[#This Row],[2022]]</f>
        <v>-3.3420620478451908E-2</v>
      </c>
      <c r="K6" s="7">
        <f>(Table4[[#This Row],[2022]]-Table4[[#This Row],[2021]])/Table4[[#This Row],[2021]]</f>
        <v>-0.11748917425055028</v>
      </c>
      <c r="L6" s="7">
        <f>(Table4[[#This Row],[2021]]-Table4[[#This Row],[2020]])/Table4[[#This Row],[2020]]</f>
        <v>-0.1023479007360092</v>
      </c>
      <c r="M6" s="7">
        <f>(Table4[[#This Row],[2020]]-Table4[[#This Row],[2019]])/Table4[[#This Row],[2019]]</f>
        <v>-9.012707864984501E-2</v>
      </c>
    </row>
    <row r="7" spans="2:13" x14ac:dyDescent="0.3">
      <c r="B7" s="12" t="s">
        <v>117</v>
      </c>
      <c r="C7" s="34">
        <v>175000</v>
      </c>
      <c r="D7" s="34">
        <v>174000</v>
      </c>
      <c r="E7" s="34">
        <v>198147</v>
      </c>
      <c r="F7" s="34">
        <v>202864</v>
      </c>
      <c r="G7" s="34">
        <v>135938</v>
      </c>
      <c r="I7" t="s">
        <v>117</v>
      </c>
      <c r="J7" s="7">
        <f>(Table4[[#This Row],[2023]]-Table4[[#This Row],[2022]])/Table4[[#This Row],[2022]]</f>
        <v>5.7471264367816091E-3</v>
      </c>
      <c r="K7" s="7">
        <f>(Table4[[#This Row],[2022]]-Table4[[#This Row],[2021]])/Table4[[#This Row],[2021]]</f>
        <v>-0.12186407061424094</v>
      </c>
      <c r="L7" s="7">
        <f>(Table4[[#This Row],[2021]]-Table4[[#This Row],[2020]])/Table4[[#This Row],[2020]]</f>
        <v>-2.3252030917264768E-2</v>
      </c>
      <c r="M7" s="7">
        <f>(Table4[[#This Row],[2020]]-Table4[[#This Row],[2019]])/Table4[[#This Row],[2019]]</f>
        <v>0.49232738454295338</v>
      </c>
    </row>
    <row r="8" spans="2:13" x14ac:dyDescent="0.3">
      <c r="B8" s="12" t="s">
        <v>41</v>
      </c>
      <c r="C8" s="34">
        <v>5058000</v>
      </c>
      <c r="D8" s="34">
        <v>3124000</v>
      </c>
      <c r="E8" s="34">
        <v>7681478</v>
      </c>
      <c r="F8" s="34">
        <v>4151959</v>
      </c>
      <c r="G8" s="34">
        <v>3876987</v>
      </c>
      <c r="I8" t="s">
        <v>41</v>
      </c>
      <c r="J8" s="7">
        <f>(Table4[[#This Row],[2023]]-Table4[[#This Row],[2022]])/Table4[[#This Row],[2022]]</f>
        <v>0.61907810499359794</v>
      </c>
      <c r="K8" s="7">
        <f>(Table4[[#This Row],[2022]]-Table4[[#This Row],[2021]])/Table4[[#This Row],[2021]]</f>
        <v>-0.59330743380375495</v>
      </c>
      <c r="L8" s="7">
        <f>(Table4[[#This Row],[2021]]-Table4[[#This Row],[2020]])/Table4[[#This Row],[2020]]</f>
        <v>0.85008522483001403</v>
      </c>
      <c r="M8" s="7">
        <f>(Table4[[#This Row],[2020]]-Table4[[#This Row],[2019]])/Table4[[#This Row],[2019]]</f>
        <v>7.0924148056209627E-2</v>
      </c>
    </row>
    <row r="9" spans="2:13" x14ac:dyDescent="0.3">
      <c r="B9" s="12" t="s">
        <v>42</v>
      </c>
      <c r="C9" s="34">
        <v>0</v>
      </c>
      <c r="D9" s="34">
        <v>0</v>
      </c>
      <c r="E9" s="34">
        <v>307</v>
      </c>
      <c r="F9" s="34">
        <v>872</v>
      </c>
      <c r="G9" s="34">
        <v>6605</v>
      </c>
      <c r="I9" t="s">
        <v>42</v>
      </c>
      <c r="J9" s="7" t="e">
        <f>(Table4[[#This Row],[2023]]-Table4[[#This Row],[2022]])/Table4[[#This Row],[2022]]</f>
        <v>#DIV/0!</v>
      </c>
      <c r="K9" s="7">
        <f>(Table4[[#This Row],[2022]]-Table4[[#This Row],[2021]])/Table4[[#This Row],[2021]]</f>
        <v>-1</v>
      </c>
      <c r="L9" s="7">
        <f>(Table4[[#This Row],[2021]]-Table4[[#This Row],[2020]])/Table4[[#This Row],[2020]]</f>
        <v>-0.64793577981651373</v>
      </c>
      <c r="M9" s="7">
        <f>(Table4[[#This Row],[2020]]-Table4[[#This Row],[2019]])/Table4[[#This Row],[2019]]</f>
        <v>-0.8679788039364118</v>
      </c>
    </row>
    <row r="10" spans="2:13" x14ac:dyDescent="0.3">
      <c r="B10" s="12" t="s">
        <v>118</v>
      </c>
      <c r="C10" s="34">
        <v>4726000</v>
      </c>
      <c r="D10" s="34">
        <v>2613000</v>
      </c>
      <c r="E10" s="34">
        <v>7310177</v>
      </c>
      <c r="F10" s="34">
        <v>3812602</v>
      </c>
      <c r="G10" s="34">
        <v>3428307</v>
      </c>
      <c r="I10" t="s">
        <v>118</v>
      </c>
      <c r="J10" s="7">
        <f>(Table4[[#This Row],[2023]]-Table4[[#This Row],[2022]])/Table4[[#This Row],[2022]]</f>
        <v>0.80864906238040568</v>
      </c>
      <c r="K10" s="7">
        <f>(Table4[[#This Row],[2022]]-Table4[[#This Row],[2021]])/Table4[[#This Row],[2021]]</f>
        <v>-0.64255311465098586</v>
      </c>
      <c r="L10" s="7">
        <f>(Table4[[#This Row],[2021]]-Table4[[#This Row],[2020]])/Table4[[#This Row],[2020]]</f>
        <v>0.91737217784599601</v>
      </c>
      <c r="M10" s="7">
        <f>(Table4[[#This Row],[2020]]-Table4[[#This Row],[2019]])/Table4[[#This Row],[2019]]</f>
        <v>0.11209468696939918</v>
      </c>
    </row>
    <row r="11" spans="2:13" x14ac:dyDescent="0.3">
      <c r="B11" s="12" t="s">
        <v>44</v>
      </c>
      <c r="C11" s="34">
        <v>4726000</v>
      </c>
      <c r="D11" s="34">
        <v>2613000</v>
      </c>
      <c r="E11" s="34">
        <v>7310177</v>
      </c>
      <c r="F11" s="34">
        <v>3812602</v>
      </c>
      <c r="G11" s="34">
        <v>3428307</v>
      </c>
      <c r="I11" t="s">
        <v>44</v>
      </c>
      <c r="J11" s="7">
        <f>(Table4[[#This Row],[2023]]-Table4[[#This Row],[2022]])/Table4[[#This Row],[2022]]</f>
        <v>0.80864906238040568</v>
      </c>
      <c r="K11" s="7">
        <f>(Table4[[#This Row],[2022]]-Table4[[#This Row],[2021]])/Table4[[#This Row],[2021]]</f>
        <v>-0.64255311465098586</v>
      </c>
      <c r="L11" s="7">
        <f>(Table4[[#This Row],[2021]]-Table4[[#This Row],[2020]])/Table4[[#This Row],[2020]]</f>
        <v>0.91737217784599601</v>
      </c>
      <c r="M11" s="7">
        <f>(Table4[[#This Row],[2020]]-Table4[[#This Row],[2019]])/Table4[[#This Row],[2019]]</f>
        <v>0.11209468696939918</v>
      </c>
    </row>
    <row r="12" spans="2:13" x14ac:dyDescent="0.3">
      <c r="B12" s="12" t="s">
        <v>47</v>
      </c>
      <c r="C12" s="34">
        <v>332000</v>
      </c>
      <c r="D12" s="34">
        <v>511000</v>
      </c>
      <c r="E12" s="34">
        <v>370994</v>
      </c>
      <c r="F12" s="34">
        <v>338485</v>
      </c>
      <c r="G12" s="34">
        <v>442075</v>
      </c>
      <c r="I12" t="s">
        <v>47</v>
      </c>
      <c r="J12" s="7">
        <f>(Table4[[#This Row],[2023]]-Table4[[#This Row],[2022]])/Table4[[#This Row],[2022]]</f>
        <v>-0.35029354207436397</v>
      </c>
      <c r="K12" s="7">
        <f>(Table4[[#This Row],[2022]]-Table4[[#This Row],[2021]])/Table4[[#This Row],[2021]]</f>
        <v>0.37738076626576172</v>
      </c>
      <c r="L12" s="7">
        <f>(Table4[[#This Row],[2021]]-Table4[[#This Row],[2020]])/Table4[[#This Row],[2020]]</f>
        <v>9.6042660679202918E-2</v>
      </c>
      <c r="M12" s="7">
        <f>(Table4[[#This Row],[2020]]-Table4[[#This Row],[2019]])/Table4[[#This Row],[2019]]</f>
        <v>-0.23432675450998133</v>
      </c>
    </row>
    <row r="13" spans="2:13" x14ac:dyDescent="0.3">
      <c r="B13" s="12" t="s">
        <v>48</v>
      </c>
      <c r="C13" s="34">
        <v>2238000</v>
      </c>
      <c r="D13" s="34">
        <v>2365000</v>
      </c>
      <c r="E13" s="34">
        <v>2515470</v>
      </c>
      <c r="F13" s="34">
        <v>2392820</v>
      </c>
      <c r="G13" s="34">
        <v>2473173</v>
      </c>
      <c r="I13" t="s">
        <v>48</v>
      </c>
      <c r="J13" s="7">
        <f>(Table4[[#This Row],[2023]]-Table4[[#This Row],[2022]])/Table4[[#This Row],[2022]]</f>
        <v>-5.3699788583509517E-2</v>
      </c>
      <c r="K13" s="7">
        <f>(Table4[[#This Row],[2022]]-Table4[[#This Row],[2021]])/Table4[[#This Row],[2021]]</f>
        <v>-5.9817847161763013E-2</v>
      </c>
      <c r="L13" s="7">
        <f>(Table4[[#This Row],[2021]]-Table4[[#This Row],[2020]])/Table4[[#This Row],[2020]]</f>
        <v>5.125751205690357E-2</v>
      </c>
      <c r="M13" s="7">
        <f>(Table4[[#This Row],[2020]]-Table4[[#This Row],[2019]])/Table4[[#This Row],[2019]]</f>
        <v>-3.2489841996496002E-2</v>
      </c>
    </row>
    <row r="14" spans="2:13" x14ac:dyDescent="0.3">
      <c r="B14" s="30" t="s">
        <v>49</v>
      </c>
      <c r="C14" s="34">
        <v>30034000</v>
      </c>
      <c r="D14" s="34">
        <v>28437000</v>
      </c>
      <c r="E14" s="34">
        <v>36225912</v>
      </c>
      <c r="F14" s="34">
        <v>35471186</v>
      </c>
      <c r="G14" s="34">
        <v>38035650</v>
      </c>
      <c r="I14" t="s">
        <v>49</v>
      </c>
      <c r="J14" s="7">
        <f>(Table4[[#This Row],[2023]]-Table4[[#This Row],[2022]])/Table4[[#This Row],[2022]]</f>
        <v>5.6159229173260189E-2</v>
      </c>
      <c r="K14" s="7">
        <f>(Table4[[#This Row],[2022]]-Table4[[#This Row],[2021]])/Table4[[#This Row],[2021]]</f>
        <v>-0.21500941094319448</v>
      </c>
      <c r="L14" s="7">
        <f>(Table4[[#This Row],[2021]]-Table4[[#This Row],[2020]])/Table4[[#This Row],[2020]]</f>
        <v>2.1277157183298017E-2</v>
      </c>
      <c r="M14" s="7">
        <f>(Table4[[#This Row],[2020]]-Table4[[#This Row],[2019]])/Table4[[#This Row],[2019]]</f>
        <v>-6.7422641653291052E-2</v>
      </c>
    </row>
    <row r="15" spans="2:13" x14ac:dyDescent="0.3">
      <c r="B15" s="31" t="s">
        <v>50</v>
      </c>
      <c r="C15" s="34">
        <v>6707000</v>
      </c>
      <c r="D15" s="34">
        <v>5308000</v>
      </c>
      <c r="E15" s="34">
        <v>6218714</v>
      </c>
      <c r="F15" s="34">
        <v>6408662</v>
      </c>
      <c r="G15" s="34">
        <v>6908307</v>
      </c>
      <c r="I15" t="s">
        <v>50</v>
      </c>
      <c r="J15" s="7">
        <f>(Table4[[#This Row],[2023]]-Table4[[#This Row],[2022]])/Table4[[#This Row],[2022]]</f>
        <v>0.26356443104747551</v>
      </c>
      <c r="K15" s="7">
        <f>(Table4[[#This Row],[2022]]-Table4[[#This Row],[2021]])/Table4[[#This Row],[2021]]</f>
        <v>-0.14644732013725023</v>
      </c>
      <c r="L15" s="7">
        <f>(Table4[[#This Row],[2021]]-Table4[[#This Row],[2020]])/Table4[[#This Row],[2020]]</f>
        <v>-2.9639260113889607E-2</v>
      </c>
      <c r="M15" s="7">
        <f>(Table4[[#This Row],[2020]]-Table4[[#This Row],[2019]])/Table4[[#This Row],[2019]]</f>
        <v>-7.2325245534108434E-2</v>
      </c>
    </row>
    <row r="16" spans="2:13" x14ac:dyDescent="0.3">
      <c r="B16" s="12" t="s">
        <v>120</v>
      </c>
      <c r="C16" s="34">
        <v>20000</v>
      </c>
      <c r="D16" s="34">
        <v>20000</v>
      </c>
      <c r="E16" s="34">
        <v>20000</v>
      </c>
      <c r="F16" s="34">
        <v>20000</v>
      </c>
      <c r="G16" s="34">
        <v>20000</v>
      </c>
      <c r="I16" t="s">
        <v>120</v>
      </c>
      <c r="J16" s="7">
        <f>(Table4[[#This Row],[2023]]-Table4[[#This Row],[2022]])/Table4[[#This Row],[2022]]</f>
        <v>0</v>
      </c>
      <c r="K16" s="7">
        <f>(Table4[[#This Row],[2022]]-Table4[[#This Row],[2021]])/Table4[[#This Row],[2021]]</f>
        <v>0</v>
      </c>
      <c r="L16" s="7">
        <f>(Table4[[#This Row],[2021]]-Table4[[#This Row],[2020]])/Table4[[#This Row],[2020]]</f>
        <v>0</v>
      </c>
      <c r="M16" s="7">
        <f>(Table4[[#This Row],[2020]]-Table4[[#This Row],[2019]])/Table4[[#This Row],[2019]]</f>
        <v>0</v>
      </c>
    </row>
    <row r="17" spans="2:13" x14ac:dyDescent="0.3">
      <c r="B17" s="31" t="s">
        <v>121</v>
      </c>
      <c r="C17" s="34">
        <v>2162000</v>
      </c>
      <c r="D17" s="34">
        <v>2101000</v>
      </c>
      <c r="E17" s="34">
        <v>1715527</v>
      </c>
      <c r="F17" s="34">
        <v>1871553</v>
      </c>
      <c r="G17" s="34">
        <v>2604226</v>
      </c>
      <c r="I17" t="s">
        <v>121</v>
      </c>
      <c r="J17" s="7">
        <f>(Table4[[#This Row],[2023]]-Table4[[#This Row],[2022]])/Table4[[#This Row],[2022]]</f>
        <v>2.9033793431699192E-2</v>
      </c>
      <c r="K17" s="7">
        <f>(Table4[[#This Row],[2022]]-Table4[[#This Row],[2021]])/Table4[[#This Row],[2021]]</f>
        <v>0.22469655097238342</v>
      </c>
      <c r="L17" s="7">
        <f>(Table4[[#This Row],[2021]]-Table4[[#This Row],[2020]])/Table4[[#This Row],[2020]]</f>
        <v>-8.3367128796245679E-2</v>
      </c>
      <c r="M17" s="7">
        <f>(Table4[[#This Row],[2020]]-Table4[[#This Row],[2019]])/Table4[[#This Row],[2019]]</f>
        <v>-0.28134002194893992</v>
      </c>
    </row>
    <row r="18" spans="2:13" x14ac:dyDescent="0.3">
      <c r="B18" s="12" t="s">
        <v>122</v>
      </c>
      <c r="C18" s="34">
        <v>3187000</v>
      </c>
      <c r="D18" s="34">
        <v>7000</v>
      </c>
      <c r="E18" s="34">
        <v>482</v>
      </c>
      <c r="F18" s="34">
        <v>482</v>
      </c>
      <c r="G18" s="34">
        <v>1067656</v>
      </c>
      <c r="I18" t="s">
        <v>122</v>
      </c>
      <c r="J18" s="7">
        <f>(Table4[[#This Row],[2023]]-Table4[[#This Row],[2022]])/Table4[[#This Row],[2022]]</f>
        <v>454.28571428571428</v>
      </c>
      <c r="K18" s="7">
        <f>(Table4[[#This Row],[2022]]-Table4[[#This Row],[2021]])/Table4[[#This Row],[2021]]</f>
        <v>13.522821576763485</v>
      </c>
      <c r="L18" s="7">
        <f>(Table4[[#This Row],[2021]]-Table4[[#This Row],[2020]])/Table4[[#This Row],[2020]]</f>
        <v>0</v>
      </c>
      <c r="M18" s="7">
        <f>(Table4[[#This Row],[2020]]-Table4[[#This Row],[2019]])/Table4[[#This Row],[2019]]</f>
        <v>-0.99954854372569446</v>
      </c>
    </row>
    <row r="19" spans="2:13" x14ac:dyDescent="0.3">
      <c r="B19" s="31" t="s">
        <v>20</v>
      </c>
      <c r="C19" s="34">
        <v>1338000</v>
      </c>
      <c r="D19" s="34">
        <v>3180000</v>
      </c>
      <c r="E19" s="34">
        <v>4482705</v>
      </c>
      <c r="F19" s="34">
        <v>4516627</v>
      </c>
      <c r="G19" s="34">
        <v>3216425</v>
      </c>
      <c r="I19" t="s">
        <v>20</v>
      </c>
      <c r="J19" s="7">
        <f>(Table4[[#This Row],[2023]]-Table4[[#This Row],[2022]])/Table4[[#This Row],[2022]]</f>
        <v>-0.57924528301886791</v>
      </c>
      <c r="K19" s="7">
        <f>(Table4[[#This Row],[2022]]-Table4[[#This Row],[2021]])/Table4[[#This Row],[2021]]</f>
        <v>-0.29060689918252486</v>
      </c>
      <c r="L19" s="7">
        <f>(Table4[[#This Row],[2021]]-Table4[[#This Row],[2020]])/Table4[[#This Row],[2020]]</f>
        <v>-7.5104718631846283E-3</v>
      </c>
      <c r="M19" s="7">
        <f>(Table4[[#This Row],[2020]]-Table4[[#This Row],[2019]])/Table4[[#This Row],[2019]]</f>
        <v>0.40423824587857637</v>
      </c>
    </row>
    <row r="20" spans="2:13" x14ac:dyDescent="0.3">
      <c r="B20" s="12" t="s">
        <v>51</v>
      </c>
      <c r="C20" s="34">
        <v>12224000</v>
      </c>
      <c r="D20" s="34">
        <v>12404000</v>
      </c>
      <c r="E20" s="34">
        <v>19911447</v>
      </c>
      <c r="F20" s="34">
        <v>18665299</v>
      </c>
      <c r="G20" s="34">
        <v>21404754</v>
      </c>
      <c r="I20" t="s">
        <v>51</v>
      </c>
      <c r="J20" s="7">
        <f>(Table4[[#This Row],[2023]]-Table4[[#This Row],[2022]])/Table4[[#This Row],[2022]]</f>
        <v>-1.4511447920025799E-2</v>
      </c>
      <c r="K20" s="7">
        <f>(Table4[[#This Row],[2022]]-Table4[[#This Row],[2021]])/Table4[[#This Row],[2021]]</f>
        <v>-0.37704175894398834</v>
      </c>
      <c r="L20" s="7">
        <f>(Table4[[#This Row],[2021]]-Table4[[#This Row],[2020]])/Table4[[#This Row],[2020]]</f>
        <v>6.6762820140197063E-2</v>
      </c>
      <c r="M20" s="7">
        <f>(Table4[[#This Row],[2020]]-Table4[[#This Row],[2019]])/Table4[[#This Row],[2019]]</f>
        <v>-0.12798348441659269</v>
      </c>
    </row>
    <row r="21" spans="2:13" x14ac:dyDescent="0.3">
      <c r="B21" s="31" t="s">
        <v>123</v>
      </c>
      <c r="C21" s="34">
        <v>828000</v>
      </c>
      <c r="D21" s="34">
        <v>843000</v>
      </c>
      <c r="E21" s="34">
        <v>541064</v>
      </c>
      <c r="F21" s="34">
        <v>271232</v>
      </c>
      <c r="G21" s="34">
        <v>187396</v>
      </c>
      <c r="I21" t="s">
        <v>123</v>
      </c>
      <c r="J21" s="7">
        <f>(Table4[[#This Row],[2023]]-Table4[[#This Row],[2022]])/Table4[[#This Row],[2022]]</f>
        <v>-1.7793594306049824E-2</v>
      </c>
      <c r="K21" s="7">
        <f>(Table4[[#This Row],[2022]]-Table4[[#This Row],[2021]])/Table4[[#This Row],[2021]]</f>
        <v>0.55804119290878718</v>
      </c>
      <c r="L21" s="7">
        <f>(Table4[[#This Row],[2021]]-Table4[[#This Row],[2020]])/Table4[[#This Row],[2020]]</f>
        <v>0.99483836715431806</v>
      </c>
      <c r="M21" s="7">
        <f>(Table4[[#This Row],[2020]]-Table4[[#This Row],[2019]])/Table4[[#This Row],[2019]]</f>
        <v>0.44737347648829218</v>
      </c>
    </row>
    <row r="22" spans="2:13" x14ac:dyDescent="0.3">
      <c r="B22" s="12" t="s">
        <v>124</v>
      </c>
      <c r="C22" s="34">
        <v>11396000</v>
      </c>
      <c r="D22" s="34">
        <v>11561000</v>
      </c>
      <c r="E22" s="34">
        <v>19370383</v>
      </c>
      <c r="F22" s="34">
        <v>18394067</v>
      </c>
      <c r="G22" s="34">
        <v>21217356</v>
      </c>
      <c r="I22" t="s">
        <v>124</v>
      </c>
      <c r="J22" s="7">
        <f>(Table4[[#This Row],[2023]]-Table4[[#This Row],[2022]])/Table4[[#This Row],[2022]]</f>
        <v>-1.4272121788772598E-2</v>
      </c>
      <c r="K22" s="7">
        <f>(Table4[[#This Row],[2022]]-Table4[[#This Row],[2021]])/Table4[[#This Row],[2021]]</f>
        <v>-0.40316100099827662</v>
      </c>
      <c r="L22" s="7">
        <f>(Table4[[#This Row],[2021]]-Table4[[#This Row],[2020]])/Table4[[#This Row],[2020]]</f>
        <v>5.3077766869067074E-2</v>
      </c>
      <c r="M22" s="7">
        <f>(Table4[[#This Row],[2020]]-Table4[[#This Row],[2019]])/Table4[[#This Row],[2019]]</f>
        <v>-0.13306507182138999</v>
      </c>
    </row>
    <row r="23" spans="2:13" x14ac:dyDescent="0.3">
      <c r="B23" s="31" t="s">
        <v>125</v>
      </c>
      <c r="C23" s="34">
        <v>1949000</v>
      </c>
      <c r="D23" s="34">
        <v>2019000</v>
      </c>
      <c r="E23" s="34">
        <v>2298394</v>
      </c>
      <c r="F23" s="34">
        <v>2670611</v>
      </c>
      <c r="G23" s="34">
        <v>2902153</v>
      </c>
      <c r="I23" t="s">
        <v>125</v>
      </c>
      <c r="J23" s="7">
        <f>(Table4[[#This Row],[2023]]-Table4[[#This Row],[2022]])/Table4[[#This Row],[2022]]</f>
        <v>-3.4670629024269442E-2</v>
      </c>
      <c r="K23" s="7">
        <f>(Table4[[#This Row],[2022]]-Table4[[#This Row],[2021]])/Table4[[#This Row],[2021]]</f>
        <v>-0.12156053313748644</v>
      </c>
      <c r="L23" s="7">
        <f>(Table4[[#This Row],[2021]]-Table4[[#This Row],[2020]])/Table4[[#This Row],[2020]]</f>
        <v>-0.13937522162531346</v>
      </c>
      <c r="M23" s="7">
        <f>(Table4[[#This Row],[2020]]-Table4[[#This Row],[2019]])/Table4[[#This Row],[2019]]</f>
        <v>-7.9782837086811068E-2</v>
      </c>
    </row>
    <row r="24" spans="2:13" x14ac:dyDescent="0.3">
      <c r="B24" s="12" t="s">
        <v>52</v>
      </c>
      <c r="C24" s="34">
        <v>9447000</v>
      </c>
      <c r="D24" s="34">
        <v>9542000</v>
      </c>
      <c r="E24" s="34">
        <v>17071989</v>
      </c>
      <c r="F24" s="34">
        <v>15723456</v>
      </c>
      <c r="G24" s="34">
        <v>18315203</v>
      </c>
      <c r="I24" t="s">
        <v>52</v>
      </c>
      <c r="J24" s="7">
        <f>(Table4[[#This Row],[2023]]-Table4[[#This Row],[2022]])/Table4[[#This Row],[2022]]</f>
        <v>-9.9559840704254877E-3</v>
      </c>
      <c r="K24" s="7">
        <f>(Table4[[#This Row],[2022]]-Table4[[#This Row],[2021]])/Table4[[#This Row],[2021]]</f>
        <v>-0.44107274202203389</v>
      </c>
      <c r="L24" s="7">
        <f>(Table4[[#This Row],[2021]]-Table4[[#This Row],[2020]])/Table4[[#This Row],[2020]]</f>
        <v>8.5765686627672699E-2</v>
      </c>
      <c r="M24" s="7">
        <f>(Table4[[#This Row],[2020]]-Table4[[#This Row],[2019]])/Table4[[#This Row],[2019]]</f>
        <v>-0.14150795926204041</v>
      </c>
    </row>
    <row r="25" spans="2:13" x14ac:dyDescent="0.3">
      <c r="B25" s="31" t="s">
        <v>54</v>
      </c>
      <c r="C25" s="34">
        <v>11103000</v>
      </c>
      <c r="D25" s="34">
        <v>10725000</v>
      </c>
      <c r="E25" s="34">
        <v>10095751</v>
      </c>
      <c r="F25" s="34">
        <v>10397225</v>
      </c>
      <c r="G25" s="34">
        <v>9722589</v>
      </c>
      <c r="I25" t="s">
        <v>54</v>
      </c>
      <c r="J25" s="7">
        <f>(Table4[[#This Row],[2023]]-Table4[[#This Row],[2022]])/Table4[[#This Row],[2022]]</f>
        <v>3.5244755244755246E-2</v>
      </c>
      <c r="K25" s="7">
        <f>(Table4[[#This Row],[2022]]-Table4[[#This Row],[2021]])/Table4[[#This Row],[2021]]</f>
        <v>6.2328102188732665E-2</v>
      </c>
      <c r="L25" s="7">
        <f>(Table4[[#This Row],[2021]]-Table4[[#This Row],[2020]])/Table4[[#This Row],[2020]]</f>
        <v>-2.8995621427832907E-2</v>
      </c>
      <c r="M25" s="7">
        <f>(Table4[[#This Row],[2020]]-Table4[[#This Row],[2019]])/Table4[[#This Row],[2019]]</f>
        <v>6.9388513697328971E-2</v>
      </c>
    </row>
    <row r="30" spans="2:13" x14ac:dyDescent="0.3">
      <c r="B30" t="s">
        <v>119</v>
      </c>
    </row>
    <row r="31" spans="2:13" x14ac:dyDescent="0.3">
      <c r="C31">
        <v>2023</v>
      </c>
      <c r="D31">
        <v>2022</v>
      </c>
      <c r="E31">
        <v>2021</v>
      </c>
      <c r="F31">
        <v>2020</v>
      </c>
    </row>
    <row r="32" spans="2:13" x14ac:dyDescent="0.3">
      <c r="B32" s="10" t="s">
        <v>38</v>
      </c>
      <c r="C32" s="7">
        <f>C3/$C$3</f>
        <v>1</v>
      </c>
      <c r="D32" s="7">
        <f>D3/$D$3</f>
        <v>1</v>
      </c>
      <c r="E32" s="7">
        <f>E3/$E$3</f>
        <v>1</v>
      </c>
      <c r="F32" s="7">
        <f>F3/$F$3</f>
        <v>1</v>
      </c>
    </row>
    <row r="33" spans="2:6" x14ac:dyDescent="0.3">
      <c r="B33" s="8" t="s">
        <v>40</v>
      </c>
      <c r="C33" s="7">
        <f t="shared" ref="C33:C53" si="0">C4/$C$3</f>
        <v>0.75707531464340416</v>
      </c>
      <c r="D33" s="7">
        <f t="shared" ref="D33:D54" si="1">D4/$D$3</f>
        <v>0.80697682596617082</v>
      </c>
      <c r="E33" s="7">
        <f>E4/$E$3</f>
        <v>0.71851783883315345</v>
      </c>
      <c r="F33" s="7">
        <f t="shared" ref="F33:F54" si="2">F4/$F$3</f>
        <v>0.81549026863663365</v>
      </c>
    </row>
    <row r="34" spans="2:6" x14ac:dyDescent="0.3">
      <c r="B34" s="6" t="s">
        <v>115</v>
      </c>
      <c r="C34" s="7">
        <f t="shared" si="0"/>
        <v>2.6137044682692949E-2</v>
      </c>
      <c r="D34" s="7">
        <f t="shared" si="1"/>
        <v>8.5452051904209309E-3</v>
      </c>
      <c r="E34" s="7">
        <f>E5/$E$3</f>
        <v>8.2883213540628047E-3</v>
      </c>
      <c r="F34" s="7">
        <f t="shared" si="2"/>
        <v>7.9515525643828206E-3</v>
      </c>
    </row>
    <row r="35" spans="2:6" x14ac:dyDescent="0.3">
      <c r="B35" s="8" t="s">
        <v>116</v>
      </c>
      <c r="C35" s="7">
        <f t="shared" si="0"/>
        <v>0.72511154025437841</v>
      </c>
      <c r="D35" s="7">
        <f t="shared" si="1"/>
        <v>0.79231283187396706</v>
      </c>
      <c r="E35" s="7">
        <f>E6/$E$3</f>
        <v>0.70475975870531571</v>
      </c>
      <c r="F35" s="7">
        <f t="shared" si="2"/>
        <v>0.80181959520609203</v>
      </c>
    </row>
    <row r="36" spans="2:6" x14ac:dyDescent="0.3">
      <c r="B36" s="6" t="s">
        <v>117</v>
      </c>
      <c r="C36" s="7">
        <f t="shared" si="0"/>
        <v>5.8267297063328231E-3</v>
      </c>
      <c r="D36" s="7">
        <f t="shared" si="1"/>
        <v>6.1187889017828888E-3</v>
      </c>
      <c r="E36" s="7">
        <f>E7/$E$3</f>
        <v>5.4697587737749711E-3</v>
      </c>
      <c r="F36" s="7">
        <f t="shared" si="2"/>
        <v>5.7191208661588029E-3</v>
      </c>
    </row>
    <row r="37" spans="2:6" x14ac:dyDescent="0.3">
      <c r="B37" s="8" t="s">
        <v>41</v>
      </c>
      <c r="C37" s="7">
        <f t="shared" si="0"/>
        <v>0.16840913631217952</v>
      </c>
      <c r="D37" s="7">
        <f t="shared" si="1"/>
        <v>0.10985687660442381</v>
      </c>
      <c r="E37" s="7">
        <f>E8/$E$3</f>
        <v>0.21204374371582418</v>
      </c>
      <c r="F37" s="7">
        <f t="shared" si="2"/>
        <v>0.11705159788003705</v>
      </c>
    </row>
    <row r="38" spans="2:6" x14ac:dyDescent="0.3">
      <c r="B38" s="6" t="s">
        <v>42</v>
      </c>
      <c r="C38" s="7">
        <f t="shared" si="0"/>
        <v>0</v>
      </c>
      <c r="D38" s="7">
        <f t="shared" si="1"/>
        <v>0</v>
      </c>
      <c r="E38" s="7">
        <f>E9/$E$3</f>
        <v>8.4745968576305263E-6</v>
      </c>
      <c r="F38" s="7">
        <f t="shared" si="2"/>
        <v>2.4583333638745546E-5</v>
      </c>
    </row>
    <row r="39" spans="2:6" x14ac:dyDescent="0.3">
      <c r="B39" s="8" t="s">
        <v>118</v>
      </c>
      <c r="C39" s="7">
        <f t="shared" si="0"/>
        <v>0.15735499766930811</v>
      </c>
      <c r="D39" s="7">
        <f t="shared" si="1"/>
        <v>9.1887329887118896E-2</v>
      </c>
      <c r="E39" s="7">
        <f>E10/$E$3</f>
        <v>0.20179414668704546</v>
      </c>
      <c r="F39" s="7">
        <f t="shared" si="2"/>
        <v>0.10748448050200521</v>
      </c>
    </row>
    <row r="40" spans="2:6" x14ac:dyDescent="0.3">
      <c r="B40" s="6" t="s">
        <v>44</v>
      </c>
      <c r="C40" s="7">
        <f t="shared" si="0"/>
        <v>0.15735499766930811</v>
      </c>
      <c r="D40" s="7">
        <f t="shared" si="1"/>
        <v>9.1887329887118896E-2</v>
      </c>
      <c r="E40" s="7">
        <f>E11/$E$3</f>
        <v>0.20179414668704546</v>
      </c>
      <c r="F40" s="7">
        <f t="shared" si="2"/>
        <v>0.10748448050200521</v>
      </c>
    </row>
    <row r="41" spans="2:6" x14ac:dyDescent="0.3">
      <c r="B41" s="8" t="s">
        <v>47</v>
      </c>
      <c r="C41" s="7">
        <f t="shared" si="0"/>
        <v>1.1054138642871412E-2</v>
      </c>
      <c r="D41" s="7">
        <f t="shared" si="1"/>
        <v>1.796954671730492E-2</v>
      </c>
      <c r="E41" s="7">
        <f>E12/$E$3</f>
        <v>1.0241122431921107E-2</v>
      </c>
      <c r="F41" s="7">
        <f t="shared" si="2"/>
        <v>9.5425340443931021E-3</v>
      </c>
    </row>
    <row r="42" spans="2:6" x14ac:dyDescent="0.3">
      <c r="B42" s="6" t="s">
        <v>48</v>
      </c>
      <c r="C42" s="7">
        <f t="shared" si="0"/>
        <v>7.4515549044416332E-2</v>
      </c>
      <c r="D42" s="7">
        <f t="shared" si="1"/>
        <v>8.3166297429405359E-2</v>
      </c>
      <c r="E42" s="7">
        <f>E13/$E$3</f>
        <v>6.9438417451022347E-2</v>
      </c>
      <c r="F42" s="7">
        <f t="shared" si="2"/>
        <v>6.7458133483329255E-2</v>
      </c>
    </row>
    <row r="43" spans="2:6" x14ac:dyDescent="0.3">
      <c r="B43" s="11" t="s">
        <v>49</v>
      </c>
      <c r="C43" s="7">
        <f t="shared" si="0"/>
        <v>1</v>
      </c>
      <c r="D43" s="7">
        <f t="shared" si="1"/>
        <v>1</v>
      </c>
      <c r="E43" s="7">
        <f>E14/$E$3</f>
        <v>1</v>
      </c>
      <c r="F43" s="7">
        <f t="shared" si="2"/>
        <v>1</v>
      </c>
    </row>
    <row r="44" spans="2:6" x14ac:dyDescent="0.3">
      <c r="B44" s="6" t="s">
        <v>50</v>
      </c>
      <c r="C44" s="7">
        <f t="shared" si="0"/>
        <v>0.22331357794499568</v>
      </c>
      <c r="D44" s="7">
        <f t="shared" si="1"/>
        <v>0.18665822695783663</v>
      </c>
      <c r="E44" s="7">
        <f>E15/$E$3</f>
        <v>0.17166480170326698</v>
      </c>
      <c r="F44" s="7">
        <f t="shared" si="2"/>
        <v>0.18067233500453014</v>
      </c>
    </row>
    <row r="45" spans="2:6" x14ac:dyDescent="0.3">
      <c r="B45" s="8" t="s">
        <v>120</v>
      </c>
      <c r="C45" s="7">
        <f t="shared" si="0"/>
        <v>6.6591196643803684E-4</v>
      </c>
      <c r="D45" s="7">
        <f t="shared" si="1"/>
        <v>7.0330906917044698E-4</v>
      </c>
      <c r="E45" s="7">
        <f>E16/$E$3</f>
        <v>5.5209100049710279E-4</v>
      </c>
      <c r="F45" s="7">
        <f t="shared" si="2"/>
        <v>5.638379274941638E-4</v>
      </c>
    </row>
    <row r="46" spans="2:6" x14ac:dyDescent="0.3">
      <c r="B46" s="6" t="s">
        <v>121</v>
      </c>
      <c r="C46" s="7">
        <f t="shared" si="0"/>
        <v>7.1985083571951783E-2</v>
      </c>
      <c r="D46" s="7">
        <f t="shared" si="1"/>
        <v>7.3882617716355459E-2</v>
      </c>
      <c r="E46" s="7">
        <f>E17/$E$3</f>
        <v>4.735635089048966E-2</v>
      </c>
      <c r="F46" s="7">
        <f t="shared" si="2"/>
        <v>5.2762628235774239E-2</v>
      </c>
    </row>
    <row r="47" spans="2:6" x14ac:dyDescent="0.3">
      <c r="B47" s="8" t="s">
        <v>122</v>
      </c>
      <c r="C47" s="7">
        <f t="shared" si="0"/>
        <v>0.10611307185190118</v>
      </c>
      <c r="D47" s="7">
        <f t="shared" si="1"/>
        <v>2.4615817420965642E-4</v>
      </c>
      <c r="E47" s="7">
        <f>E18/$E$3</f>
        <v>1.3305393111980175E-5</v>
      </c>
      <c r="F47" s="7">
        <f t="shared" si="2"/>
        <v>1.3588494052609349E-5</v>
      </c>
    </row>
    <row r="48" spans="2:6" x14ac:dyDescent="0.3">
      <c r="B48" s="6" t="s">
        <v>20</v>
      </c>
      <c r="C48" s="7">
        <f t="shared" si="0"/>
        <v>4.4549510554704665E-2</v>
      </c>
      <c r="D48" s="7">
        <f t="shared" si="1"/>
        <v>0.11182614199810106</v>
      </c>
      <c r="E48" s="7">
        <f>E19/$E$3</f>
        <v>0.12374305441916825</v>
      </c>
      <c r="F48" s="7">
        <f t="shared" si="2"/>
        <v>0.12733228034720914</v>
      </c>
    </row>
    <row r="49" spans="2:6" x14ac:dyDescent="0.3">
      <c r="B49" s="8" t="s">
        <v>51</v>
      </c>
      <c r="C49" s="7">
        <f t="shared" si="0"/>
        <v>0.40700539388692814</v>
      </c>
      <c r="D49" s="7">
        <f t="shared" si="1"/>
        <v>0.43619228469951121</v>
      </c>
      <c r="E49" s="7">
        <f>E20/$E$3</f>
        <v>0.54964653477875169</v>
      </c>
      <c r="F49" s="7">
        <f t="shared" si="2"/>
        <v>0.52621017521094449</v>
      </c>
    </row>
    <row r="50" spans="2:6" x14ac:dyDescent="0.3">
      <c r="B50" s="6" t="s">
        <v>123</v>
      </c>
      <c r="C50" s="7">
        <f t="shared" si="0"/>
        <v>2.7568755410534728E-2</v>
      </c>
      <c r="D50" s="7">
        <f t="shared" si="1"/>
        <v>2.964447726553434E-2</v>
      </c>
      <c r="E50" s="7">
        <f>E21/$E$3</f>
        <v>1.4935828254648219E-2</v>
      </c>
      <c r="F50" s="7">
        <f t="shared" si="2"/>
        <v>7.6465444375048526E-3</v>
      </c>
    </row>
    <row r="51" spans="2:6" x14ac:dyDescent="0.3">
      <c r="B51" s="8" t="s">
        <v>124</v>
      </c>
      <c r="C51" s="7">
        <f t="shared" si="0"/>
        <v>0.37943663847639342</v>
      </c>
      <c r="D51" s="7">
        <f t="shared" si="1"/>
        <v>0.40654780743397684</v>
      </c>
      <c r="E51" s="7">
        <f>E22/$E$3</f>
        <v>0.53471070652410357</v>
      </c>
      <c r="F51" s="7">
        <f t="shared" si="2"/>
        <v>0.51856363077343959</v>
      </c>
    </row>
    <row r="52" spans="2:6" x14ac:dyDescent="0.3">
      <c r="B52" s="6" t="s">
        <v>125</v>
      </c>
      <c r="C52" s="7">
        <f t="shared" si="0"/>
        <v>6.4893121129386694E-2</v>
      </c>
      <c r="D52" s="7">
        <f t="shared" si="1"/>
        <v>7.0999050532756625E-2</v>
      </c>
      <c r="E52" s="7">
        <f>E23/$E$3</f>
        <v>6.3446132149826903E-2</v>
      </c>
      <c r="F52" s="7">
        <f t="shared" si="2"/>
        <v>7.5289588569155824E-2</v>
      </c>
    </row>
    <row r="53" spans="2:6" x14ac:dyDescent="0.3">
      <c r="B53" s="8" t="s">
        <v>52</v>
      </c>
      <c r="C53" s="7">
        <f t="shared" si="0"/>
        <v>0.31454351734700675</v>
      </c>
      <c r="D53" s="7">
        <f t="shared" si="1"/>
        <v>0.33554875690122027</v>
      </c>
      <c r="E53" s="7">
        <f>E24/$E$3</f>
        <v>0.4712645743742766</v>
      </c>
      <c r="F53" s="7">
        <f t="shared" si="2"/>
        <v>0.44327404220428379</v>
      </c>
    </row>
    <row r="54" spans="2:6" x14ac:dyDescent="0.3">
      <c r="B54" s="6" t="s">
        <v>54</v>
      </c>
      <c r="C54" s="7">
        <f>C25/$C$3</f>
        <v>0.36968102816807619</v>
      </c>
      <c r="D54" s="7">
        <f t="shared" si="1"/>
        <v>0.37714948834265216</v>
      </c>
      <c r="E54" s="7">
        <f>E25/$E$3</f>
        <v>0.27868866351798127</v>
      </c>
      <c r="F54" s="7">
        <f t="shared" si="2"/>
        <v>0.2931174897845254</v>
      </c>
    </row>
  </sheetData>
  <mergeCells count="1">
    <mergeCell ref="J1:M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Analyza_Ukazatelu</vt:lpstr>
      <vt:lpstr>Ver_Hor_Analyza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Sakaev</dc:creator>
  <cp:lastModifiedBy>konstantin sakaev</cp:lastModifiedBy>
  <dcterms:created xsi:type="dcterms:W3CDTF">2024-03-05T17:09:25Z</dcterms:created>
  <dcterms:modified xsi:type="dcterms:W3CDTF">2025-12-18T12:00:52Z</dcterms:modified>
</cp:coreProperties>
</file>