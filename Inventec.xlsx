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ae\Desktop\"/>
    </mc:Choice>
  </mc:AlternateContent>
  <xr:revisionPtr revIDLastSave="0" documentId="13_ncr:1_{AF3EC1F7-DC1B-45C1-ADDB-E46BCDA82784}" xr6:coauthVersionLast="47" xr6:coauthVersionMax="47" xr10:uidLastSave="{00000000-0000-0000-0000-000000000000}"/>
  <bookViews>
    <workbookView xWindow="-108" yWindow="-108" windowWidth="23256" windowHeight="12456" xr2:uid="{9938F4F9-058B-4F1C-97C0-3736C0772827}"/>
  </bookViews>
  <sheets>
    <sheet name="Analyza_Ukazatel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E25" i="1"/>
  <c r="D34" i="1" s="1"/>
  <c r="F25" i="1"/>
  <c r="E34" i="1" s="1"/>
  <c r="D25" i="1"/>
  <c r="C34" i="1" s="1"/>
  <c r="E15" i="1"/>
  <c r="C55" i="1" s="1"/>
  <c r="D44" i="1" s="1"/>
  <c r="F15" i="1"/>
  <c r="D15" i="1"/>
  <c r="B55" i="1" s="1"/>
  <c r="C44" i="1" s="1"/>
  <c r="B49" i="1"/>
  <c r="C49" i="1"/>
  <c r="C50" i="1"/>
  <c r="D50" i="1"/>
  <c r="C51" i="1"/>
  <c r="D51" i="1"/>
  <c r="C52" i="1"/>
  <c r="D52" i="1"/>
  <c r="C53" i="1"/>
  <c r="D53" i="1"/>
  <c r="C54" i="1"/>
  <c r="D54" i="1"/>
  <c r="D55" i="1"/>
  <c r="E44" i="1" s="1"/>
  <c r="D35" i="1"/>
  <c r="E35" i="1"/>
  <c r="D41" i="1"/>
  <c r="E41" i="1"/>
  <c r="D42" i="1"/>
  <c r="E42" i="1"/>
  <c r="D43" i="1"/>
  <c r="E43" i="1"/>
  <c r="F27" i="1"/>
  <c r="C35" i="1"/>
  <c r="C43" i="1"/>
  <c r="C42" i="1"/>
  <c r="C41" i="1"/>
  <c r="B51" i="1"/>
  <c r="E27" i="1"/>
  <c r="D27" i="1"/>
  <c r="C45" i="1" s="1"/>
  <c r="B54" i="1"/>
  <c r="B53" i="1"/>
  <c r="B52" i="1"/>
  <c r="B50" i="1"/>
  <c r="E31" i="1" l="1"/>
  <c r="E33" i="1"/>
  <c r="D33" i="1"/>
  <c r="C33" i="1"/>
  <c r="D36" i="1"/>
  <c r="C39" i="1"/>
  <c r="E38" i="1"/>
  <c r="C37" i="1"/>
  <c r="C36" i="1"/>
  <c r="E32" i="1"/>
  <c r="D38" i="1"/>
  <c r="D37" i="1"/>
  <c r="E36" i="1"/>
  <c r="E37" i="1"/>
  <c r="D39" i="1"/>
  <c r="D31" i="1"/>
  <c r="D32" i="1"/>
  <c r="E39" i="1"/>
  <c r="C38" i="1"/>
  <c r="C32" i="1"/>
  <c r="C31" i="1"/>
  <c r="C40" i="1" l="1"/>
  <c r="E40" i="1"/>
  <c r="D40" i="1"/>
</calcChain>
</file>

<file path=xl/sharedStrings.xml><?xml version="1.0" encoding="utf-8"?>
<sst xmlns="http://schemas.openxmlformats.org/spreadsheetml/2006/main" count="112" uniqueCount="112">
  <si>
    <t>Akt</t>
  </si>
  <si>
    <t>PzUZK</t>
  </si>
  <si>
    <t>DA</t>
  </si>
  <si>
    <t>ObA</t>
  </si>
  <si>
    <t>Zás</t>
  </si>
  <si>
    <t>Dpo</t>
  </si>
  <si>
    <t>Kpo</t>
  </si>
  <si>
    <t>Kpov</t>
  </si>
  <si>
    <t>KFM</t>
  </si>
  <si>
    <t>PP</t>
  </si>
  <si>
    <t>ČRA</t>
  </si>
  <si>
    <t>Pas</t>
  </si>
  <si>
    <t>VK</t>
  </si>
  <si>
    <t>CZ</t>
  </si>
  <si>
    <t>Kzáv</t>
  </si>
  <si>
    <t>Kzov</t>
  </si>
  <si>
    <t>ČRP</t>
  </si>
  <si>
    <t>Výn</t>
  </si>
  <si>
    <t>Nák</t>
  </si>
  <si>
    <t>ÚN</t>
  </si>
  <si>
    <t>VH</t>
  </si>
  <si>
    <t>VHpD</t>
  </si>
  <si>
    <t>EBIT</t>
  </si>
  <si>
    <t>Rúvk</t>
  </si>
  <si>
    <t>Rúvk OD</t>
  </si>
  <si>
    <t>Rvk</t>
  </si>
  <si>
    <t>Rvýn</t>
  </si>
  <si>
    <t>N / V</t>
  </si>
  <si>
    <t>Dakt</t>
  </si>
  <si>
    <t>Dzás</t>
  </si>
  <si>
    <t>Dpov</t>
  </si>
  <si>
    <t>Dzov</t>
  </si>
  <si>
    <t>OD</t>
  </si>
  <si>
    <t>BL</t>
  </si>
  <si>
    <t>PL</t>
  </si>
  <si>
    <t>OL</t>
  </si>
  <si>
    <t>VR</t>
  </si>
  <si>
    <t>ÚK</t>
  </si>
  <si>
    <t>Aktiva</t>
  </si>
  <si>
    <t>Pohledávky za upsaný základní kapitál</t>
  </si>
  <si>
    <t>Stálá aktiva</t>
  </si>
  <si>
    <t>Oběžná aktiva</t>
  </si>
  <si>
    <t>Zásoby</t>
  </si>
  <si>
    <t>Dlouhodobé pohledávky</t>
  </si>
  <si>
    <t>Krátkodobé pohledávky</t>
  </si>
  <si>
    <t>Krátkodobé pohledávky z obchodních vztahů</t>
  </si>
  <si>
    <t>Krátkodobý finanční majetek</t>
  </si>
  <si>
    <t>Peněžní prostředky</t>
  </si>
  <si>
    <t>Časové rozlišení aktiv</t>
  </si>
  <si>
    <t>Pasiva</t>
  </si>
  <si>
    <t>Vlastní kapitál</t>
  </si>
  <si>
    <t>Cizí zdroje</t>
  </si>
  <si>
    <t>Krátkodobé závazky</t>
  </si>
  <si>
    <t>Krátkodobé závazky z obchodních vztahů</t>
  </si>
  <si>
    <t>Časové rozlišení pasiv</t>
  </si>
  <si>
    <t>Výnosy</t>
  </si>
  <si>
    <t>Náklady</t>
  </si>
  <si>
    <t>Úrokové náklady</t>
  </si>
  <si>
    <t>Výsledek hospodaření</t>
  </si>
  <si>
    <t>Výsledek hospodaření před zdaněním</t>
  </si>
  <si>
    <t>Výsledek hospodaření před zdaněním a úroky</t>
  </si>
  <si>
    <t>Rentabilita úhrnného vloženého kapitálu v čisté podnikové podobě</t>
  </si>
  <si>
    <t>Rentabilita úhrnného vloženého kapitálu v hrubé obecné podobě</t>
  </si>
  <si>
    <t>Rentabilita vlastního kapitálu v čisté podnikové podobě</t>
  </si>
  <si>
    <t>Rentabilita výnosů</t>
  </si>
  <si>
    <t>Celková nákladovost z výnosů</t>
  </si>
  <si>
    <t>Doba obratu aktiv ve dnech</t>
  </si>
  <si>
    <t>Doba obratu zásob ve dnech</t>
  </si>
  <si>
    <t>Doba obratu pohledávek z obchodních vztahů ve dnech</t>
  </si>
  <si>
    <t>Doba obratu závazků z obchodních vztahů ve dnech</t>
  </si>
  <si>
    <t>Obchodní deficit ve dnech</t>
  </si>
  <si>
    <t>Běžná likvidita</t>
  </si>
  <si>
    <t>Pohotová likvidita</t>
  </si>
  <si>
    <t>Okamžitá likvidita</t>
  </si>
  <si>
    <t>Věřitelské riziko</t>
  </si>
  <si>
    <t>Úrokové krytí</t>
  </si>
  <si>
    <t>001</t>
  </si>
  <si>
    <t>002</t>
  </si>
  <si>
    <t>003</t>
  </si>
  <si>
    <t>037</t>
  </si>
  <si>
    <t>038</t>
  </si>
  <si>
    <t>047</t>
  </si>
  <si>
    <t>057</t>
  </si>
  <si>
    <t>058</t>
  </si>
  <si>
    <t>072</t>
  </si>
  <si>
    <t>075</t>
  </si>
  <si>
    <t>082</t>
  </si>
  <si>
    <t>083</t>
  </si>
  <si>
    <t>104</t>
  </si>
  <si>
    <t>126</t>
  </si>
  <si>
    <t>132</t>
  </si>
  <si>
    <t>147</t>
  </si>
  <si>
    <t>Čistý obrat za účetní období</t>
  </si>
  <si>
    <t>VHpD+ÚN</t>
  </si>
  <si>
    <t>2022</t>
  </si>
  <si>
    <t>2021</t>
  </si>
  <si>
    <t>2020</t>
  </si>
  <si>
    <t>Index</t>
  </si>
  <si>
    <t>Název</t>
  </si>
  <si>
    <t>Kod</t>
  </si>
  <si>
    <t>Polosuma aktiv</t>
  </si>
  <si>
    <t>Polosuma vlastních kapitálů</t>
  </si>
  <si>
    <t>Polosuma zásob</t>
  </si>
  <si>
    <t>Polosuma krátkodobých pohledávek z obchodních vztahů</t>
  </si>
  <si>
    <t>Polosuma krátkodobých závazků z obchodních vztahů</t>
  </si>
  <si>
    <t>Poměr vlastního kapitálu k pasivům</t>
  </si>
  <si>
    <t>Hodnota celkových výnosů za den</t>
  </si>
  <si>
    <t>068</t>
  </si>
  <si>
    <t>Rok</t>
  </si>
  <si>
    <t>Zkratka</t>
  </si>
  <si>
    <t>Finanční ukazatel</t>
  </si>
  <si>
    <t>Operace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</si>
</sst>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Kč-405]"/>
    <numFmt numFmtId="165" formatCode="#,##0.00\ &quot;Kč&quot;"/>
  </numFmts>
  <fonts count="6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 applyAlignment="1">
      <alignment horizontal="right"/>
    </xf>
    <xf numFmtId="0" fontId="2" fillId="0" borderId="0" xfId="0" applyFont="1"/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0" fontId="0" fillId="0" borderId="1" xfId="0" applyNumberFormat="1" applyBorder="1"/>
    <xf numFmtId="0" fontId="5" fillId="0" borderId="0" xfId="1" applyFont="1" applyFill="1" applyBorder="1" applyAlignment="1"/>
    <xf numFmtId="0" fontId="3" fillId="2" borderId="1" xfId="1" applyFont="1" applyBorder="1" applyAlignment="1">
      <alignment horizontal="center" vertical="center"/>
    </xf>
    <xf numFmtId="0" fontId="3" fillId="2" borderId="1" xfId="1" applyFont="1" applyBorder="1" applyAlignment="1">
      <alignment horizontal="center"/>
    </xf>
  </cellXfs>
  <cellStyles count="2">
    <cellStyle name="60% - Accent3" xfId="1" builtinId="40"/>
    <cellStyle name="Normal" xfId="0" builtinId="0"/>
  </cellStyles>
  <dxfs count="3">
    <dxf>
      <numFmt numFmtId="164" formatCode="#,##0\ [$Kč-405]"/>
    </dxf>
    <dxf>
      <numFmt numFmtId="164" formatCode="#,##0\ [$Kč-405]"/>
    </dxf>
    <dxf>
      <numFmt numFmtId="164" formatCode="#,##0\ [$Kč-405]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0D21E-52F2-4D96-84D4-1EA55FE27B78}" name="Tabulka1" displayName="Tabulka1" ref="A1:F27" totalsRowShown="0">
  <autoFilter ref="A1:F27" xr:uid="{82D0D21E-52F2-4D96-84D4-1EA55FE27B78}"/>
  <tableColumns count="6">
    <tableColumn id="1" xr3:uid="{25AEA42C-53F0-49B0-B495-99D16D5BE0B0}" name="Index"/>
    <tableColumn id="2" xr3:uid="{0A5064F1-EBF8-4B70-BA14-2E69EEE7A29B}" name="Název"/>
    <tableColumn id="3" xr3:uid="{3EF7464B-5907-47D1-A067-17B890287BE1}" name="Kod"/>
    <tableColumn id="5" xr3:uid="{112B830F-FE8C-488B-B886-188F44765EFA}" name="2022" dataDxfId="2"/>
    <tableColumn id="6" xr3:uid="{4404E42E-43D0-4073-B863-7B50839ED289}" name="2021" dataDxfId="1"/>
    <tableColumn id="7" xr3:uid="{F2CFFCCA-D3CE-443F-B1FC-59D14CEB879A}" name="20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1961-7131-4149-B6D8-45C388F2B13C}">
  <dimension ref="A1:F55"/>
  <sheetViews>
    <sheetView tabSelected="1" topLeftCell="A30" workbookViewId="0">
      <selection activeCell="H36" sqref="H36"/>
    </sheetView>
  </sheetViews>
  <sheetFormatPr defaultRowHeight="14.4" x14ac:dyDescent="0.3"/>
  <cols>
    <col min="1" max="1" width="56" bestFit="1" customWidth="1"/>
    <col min="2" max="2" width="38.21875" bestFit="1" customWidth="1"/>
    <col min="3" max="4" width="17.33203125" bestFit="1" customWidth="1"/>
    <col min="5" max="5" width="15.77734375" bestFit="1" customWidth="1"/>
    <col min="6" max="6" width="27.44140625" customWidth="1"/>
    <col min="7" max="7" width="13.6640625" bestFit="1" customWidth="1"/>
    <col min="8" max="8" width="16.109375" bestFit="1" customWidth="1"/>
  </cols>
  <sheetData>
    <row r="1" spans="1:6" x14ac:dyDescent="0.3">
      <c r="A1" t="s">
        <v>97</v>
      </c>
      <c r="B1" t="s">
        <v>98</v>
      </c>
      <c r="C1" t="s">
        <v>99</v>
      </c>
      <c r="D1" t="s">
        <v>94</v>
      </c>
      <c r="E1" t="s">
        <v>95</v>
      </c>
      <c r="F1" t="s">
        <v>96</v>
      </c>
    </row>
    <row r="2" spans="1:6" x14ac:dyDescent="0.3">
      <c r="A2" s="1" t="s">
        <v>76</v>
      </c>
      <c r="B2" s="2" t="s">
        <v>38</v>
      </c>
      <c r="C2" t="s">
        <v>0</v>
      </c>
      <c r="D2" s="3">
        <v>809173000</v>
      </c>
      <c r="E2" s="3">
        <v>3286048000</v>
      </c>
      <c r="F2" s="3">
        <v>8893513000</v>
      </c>
    </row>
    <row r="3" spans="1:6" x14ac:dyDescent="0.3">
      <c r="A3" s="1" t="s">
        <v>77</v>
      </c>
      <c r="B3" t="s">
        <v>39</v>
      </c>
      <c r="C3" t="s">
        <v>1</v>
      </c>
      <c r="D3" s="3">
        <v>0</v>
      </c>
      <c r="E3" s="3">
        <v>0</v>
      </c>
      <c r="F3" s="3">
        <v>0</v>
      </c>
    </row>
    <row r="4" spans="1:6" x14ac:dyDescent="0.3">
      <c r="A4" s="1" t="s">
        <v>78</v>
      </c>
      <c r="B4" t="s">
        <v>40</v>
      </c>
      <c r="C4" t="s">
        <v>2</v>
      </c>
      <c r="D4" s="3">
        <v>170863000</v>
      </c>
      <c r="E4" s="3">
        <v>159412000</v>
      </c>
      <c r="F4" s="3">
        <v>137739000</v>
      </c>
    </row>
    <row r="5" spans="1:6" x14ac:dyDescent="0.3">
      <c r="A5" s="1"/>
      <c r="D5" s="3"/>
      <c r="E5" s="3"/>
      <c r="F5" s="3"/>
    </row>
    <row r="6" spans="1:6" x14ac:dyDescent="0.3">
      <c r="A6" s="1" t="s">
        <v>79</v>
      </c>
      <c r="B6" t="s">
        <v>41</v>
      </c>
      <c r="C6" t="s">
        <v>3</v>
      </c>
      <c r="D6" s="3">
        <v>638310000</v>
      </c>
      <c r="E6" s="3">
        <v>3126636000</v>
      </c>
      <c r="F6" s="3">
        <v>8755774000</v>
      </c>
    </row>
    <row r="7" spans="1:6" x14ac:dyDescent="0.3">
      <c r="A7" s="1" t="s">
        <v>80</v>
      </c>
      <c r="B7" t="s">
        <v>42</v>
      </c>
      <c r="C7" t="s">
        <v>4</v>
      </c>
      <c r="D7" s="3">
        <v>0</v>
      </c>
      <c r="E7" s="3">
        <v>0</v>
      </c>
      <c r="F7" s="3">
        <v>1778411000</v>
      </c>
    </row>
    <row r="8" spans="1:6" x14ac:dyDescent="0.3">
      <c r="A8" s="1" t="s">
        <v>81</v>
      </c>
      <c r="B8" t="s">
        <v>43</v>
      </c>
      <c r="C8" t="s">
        <v>5</v>
      </c>
      <c r="D8" s="3">
        <v>3273000</v>
      </c>
      <c r="E8" s="3">
        <v>3268000</v>
      </c>
      <c r="F8" s="3">
        <v>17457000</v>
      </c>
    </row>
    <row r="9" spans="1:6" x14ac:dyDescent="0.3">
      <c r="A9" s="1" t="s">
        <v>82</v>
      </c>
      <c r="B9" t="s">
        <v>44</v>
      </c>
      <c r="C9" t="s">
        <v>6</v>
      </c>
      <c r="D9" s="3">
        <v>541158000</v>
      </c>
      <c r="E9" s="3">
        <v>2558997000</v>
      </c>
      <c r="F9" s="3">
        <v>6456599000</v>
      </c>
    </row>
    <row r="10" spans="1:6" x14ac:dyDescent="0.3">
      <c r="A10" s="1" t="s">
        <v>83</v>
      </c>
      <c r="B10" t="s">
        <v>45</v>
      </c>
      <c r="C10" t="s">
        <v>7</v>
      </c>
      <c r="D10" s="3">
        <v>211761000</v>
      </c>
      <c r="E10" s="3">
        <v>2114443000</v>
      </c>
      <c r="F10" s="3">
        <v>6322487000</v>
      </c>
    </row>
    <row r="11" spans="1:6" x14ac:dyDescent="0.3">
      <c r="A11" s="1" t="s">
        <v>84</v>
      </c>
      <c r="B11" t="s">
        <v>46</v>
      </c>
      <c r="C11" t="s">
        <v>8</v>
      </c>
      <c r="D11" s="3">
        <v>0</v>
      </c>
      <c r="E11" s="3">
        <v>0</v>
      </c>
      <c r="F11" s="3">
        <v>0</v>
      </c>
    </row>
    <row r="12" spans="1:6" x14ac:dyDescent="0.3">
      <c r="A12" s="1" t="s">
        <v>85</v>
      </c>
      <c r="B12" t="s">
        <v>47</v>
      </c>
      <c r="C12" t="s">
        <v>9</v>
      </c>
      <c r="D12" s="3">
        <v>83500000</v>
      </c>
      <c r="E12" s="3">
        <v>555632000</v>
      </c>
      <c r="F12" s="3">
        <v>500475000</v>
      </c>
    </row>
    <row r="13" spans="1:6" x14ac:dyDescent="0.3">
      <c r="A13" s="1" t="s">
        <v>107</v>
      </c>
      <c r="B13" t="s">
        <v>48</v>
      </c>
      <c r="C13" t="s">
        <v>10</v>
      </c>
      <c r="D13" s="3">
        <v>10379000</v>
      </c>
      <c r="E13" s="3">
        <v>8739000</v>
      </c>
      <c r="F13" s="3">
        <v>2832000</v>
      </c>
    </row>
    <row r="14" spans="1:6" x14ac:dyDescent="0.3">
      <c r="A14" s="1"/>
      <c r="D14" s="3"/>
      <c r="E14" s="3"/>
      <c r="F14" s="3"/>
    </row>
    <row r="15" spans="1:6" x14ac:dyDescent="0.3">
      <c r="A15" s="1" t="s">
        <v>86</v>
      </c>
      <c r="B15" s="2" t="s">
        <v>49</v>
      </c>
      <c r="C15" t="s">
        <v>11</v>
      </c>
      <c r="D15" s="3">
        <f>D2</f>
        <v>809173000</v>
      </c>
      <c r="E15" s="3">
        <f t="shared" ref="E15:F15" si="0">E2</f>
        <v>3286048000</v>
      </c>
      <c r="F15" s="3">
        <f t="shared" si="0"/>
        <v>8893513000</v>
      </c>
    </row>
    <row r="16" spans="1:6" x14ac:dyDescent="0.3">
      <c r="A16" s="1" t="s">
        <v>87</v>
      </c>
      <c r="B16" t="s">
        <v>50</v>
      </c>
      <c r="C16" t="s">
        <v>12</v>
      </c>
      <c r="D16" s="3">
        <v>184229000</v>
      </c>
      <c r="E16" s="3">
        <v>143764000</v>
      </c>
      <c r="F16" s="3">
        <v>94749000</v>
      </c>
    </row>
    <row r="17" spans="1:6" x14ac:dyDescent="0.3">
      <c r="A17" s="1" t="s">
        <v>88</v>
      </c>
      <c r="B17" t="s">
        <v>51</v>
      </c>
      <c r="C17" t="s">
        <v>13</v>
      </c>
      <c r="D17" s="3">
        <v>624944000</v>
      </c>
      <c r="E17" s="3">
        <v>3142284000</v>
      </c>
      <c r="F17" s="3">
        <v>8798764000</v>
      </c>
    </row>
    <row r="18" spans="1:6" x14ac:dyDescent="0.3">
      <c r="A18" s="1" t="s">
        <v>89</v>
      </c>
      <c r="B18" t="s">
        <v>52</v>
      </c>
      <c r="C18" t="s">
        <v>14</v>
      </c>
      <c r="D18" s="3">
        <v>501484000</v>
      </c>
      <c r="E18" s="3">
        <v>2983342</v>
      </c>
      <c r="F18" s="3">
        <v>8589458000</v>
      </c>
    </row>
    <row r="19" spans="1:6" x14ac:dyDescent="0.3">
      <c r="A19" s="1" t="s">
        <v>90</v>
      </c>
      <c r="B19" t="s">
        <v>53</v>
      </c>
      <c r="C19" t="s">
        <v>15</v>
      </c>
      <c r="D19" s="3">
        <v>447320000</v>
      </c>
      <c r="E19" s="3">
        <v>2926307000</v>
      </c>
      <c r="F19" s="3">
        <v>8498449000</v>
      </c>
    </row>
    <row r="20" spans="1:6" x14ac:dyDescent="0.3">
      <c r="A20" s="1" t="s">
        <v>91</v>
      </c>
      <c r="B20" t="s">
        <v>54</v>
      </c>
      <c r="C20" t="s">
        <v>16</v>
      </c>
      <c r="D20" s="3">
        <v>0</v>
      </c>
      <c r="E20" s="3">
        <v>0</v>
      </c>
      <c r="F20" s="3">
        <v>0</v>
      </c>
    </row>
    <row r="21" spans="1:6" x14ac:dyDescent="0.3">
      <c r="D21" s="3"/>
      <c r="E21" s="3"/>
      <c r="F21" s="3"/>
    </row>
    <row r="22" spans="1:6" x14ac:dyDescent="0.3">
      <c r="A22" s="1" t="s">
        <v>92</v>
      </c>
      <c r="B22" t="s">
        <v>55</v>
      </c>
      <c r="C22" t="s">
        <v>17</v>
      </c>
      <c r="D22" s="3">
        <v>2220826000</v>
      </c>
      <c r="E22" s="3">
        <v>21804391000</v>
      </c>
      <c r="F22" s="3">
        <v>23070937000</v>
      </c>
    </row>
    <row r="23" spans="1:6" x14ac:dyDescent="0.3">
      <c r="B23" t="s">
        <v>56</v>
      </c>
      <c r="C23" t="s">
        <v>18</v>
      </c>
      <c r="D23" s="3">
        <v>2180362000</v>
      </c>
      <c r="E23" s="3">
        <v>21755376000</v>
      </c>
      <c r="F23" s="3">
        <v>23003787000</v>
      </c>
    </row>
    <row r="24" spans="1:6" x14ac:dyDescent="0.3">
      <c r="A24">
        <v>43</v>
      </c>
      <c r="B24" t="s">
        <v>57</v>
      </c>
      <c r="C24" t="s">
        <v>19</v>
      </c>
      <c r="D24" s="3">
        <v>0</v>
      </c>
      <c r="E24" s="3">
        <v>0</v>
      </c>
      <c r="F24" s="3">
        <v>0</v>
      </c>
    </row>
    <row r="25" spans="1:6" x14ac:dyDescent="0.3">
      <c r="A25">
        <v>53</v>
      </c>
      <c r="B25" t="s">
        <v>58</v>
      </c>
      <c r="C25" t="s">
        <v>20</v>
      </c>
      <c r="D25" s="3">
        <f>D22-D23</f>
        <v>40464000</v>
      </c>
      <c r="E25" s="3">
        <f t="shared" ref="E25:F25" si="1">E22-E23</f>
        <v>49015000</v>
      </c>
      <c r="F25" s="3">
        <f t="shared" si="1"/>
        <v>67150000</v>
      </c>
    </row>
    <row r="26" spans="1:6" x14ac:dyDescent="0.3">
      <c r="A26">
        <v>49</v>
      </c>
      <c r="B26" t="s">
        <v>59</v>
      </c>
      <c r="C26" t="s">
        <v>21</v>
      </c>
      <c r="D26" s="3">
        <v>72996000</v>
      </c>
      <c r="E26" s="3">
        <v>62966000</v>
      </c>
      <c r="F26" s="3">
        <v>82728000</v>
      </c>
    </row>
    <row r="27" spans="1:6" x14ac:dyDescent="0.3">
      <c r="A27" t="s">
        <v>93</v>
      </c>
      <c r="B27" t="s">
        <v>60</v>
      </c>
      <c r="C27" t="s">
        <v>22</v>
      </c>
      <c r="D27" s="3">
        <f>D26+D24</f>
        <v>72996000</v>
      </c>
      <c r="E27" s="3">
        <f>E26+E24</f>
        <v>62966000</v>
      </c>
      <c r="F27" s="3">
        <f>F26+F24</f>
        <v>82728000</v>
      </c>
    </row>
    <row r="29" spans="1:6" x14ac:dyDescent="0.3">
      <c r="A29" s="9" t="s">
        <v>110</v>
      </c>
      <c r="B29" s="9" t="s">
        <v>109</v>
      </c>
      <c r="C29" s="10" t="s">
        <v>108</v>
      </c>
      <c r="D29" s="10"/>
      <c r="E29" s="10"/>
      <c r="F29" s="8"/>
    </row>
    <row r="30" spans="1:6" x14ac:dyDescent="0.3">
      <c r="A30" s="9"/>
      <c r="B30" s="9"/>
      <c r="C30" s="4">
        <v>2022</v>
      </c>
      <c r="D30" s="4">
        <v>2021</v>
      </c>
      <c r="E30" s="4">
        <v>2020</v>
      </c>
    </row>
    <row r="31" spans="1:6" x14ac:dyDescent="0.3">
      <c r="A31" s="4" t="s">
        <v>61</v>
      </c>
      <c r="B31" s="4" t="s">
        <v>23</v>
      </c>
      <c r="C31" s="7">
        <f>D25/B49</f>
        <v>1.9761570865162101E-2</v>
      </c>
      <c r="D31" s="7">
        <f>E25/C49</f>
        <v>8.0487301635912816E-3</v>
      </c>
      <c r="E31" s="7" t="e">
        <f>F25/D49</f>
        <v>#REF!</v>
      </c>
    </row>
    <row r="32" spans="1:6" x14ac:dyDescent="0.3">
      <c r="A32" s="4" t="s">
        <v>62</v>
      </c>
      <c r="B32" s="4" t="s">
        <v>24</v>
      </c>
      <c r="C32" s="7">
        <f>D27/B49</f>
        <v>3.5649358117669352E-2</v>
      </c>
      <c r="D32" s="7">
        <f>E27/C49</f>
        <v>1.0339617331035167E-2</v>
      </c>
      <c r="E32" s="7" t="e">
        <f>F27/D49</f>
        <v>#REF!</v>
      </c>
    </row>
    <row r="33" spans="1:5" x14ac:dyDescent="0.3">
      <c r="A33" s="4" t="s">
        <v>63</v>
      </c>
      <c r="B33" s="4" t="s">
        <v>25</v>
      </c>
      <c r="C33" s="7">
        <f>D25/B50</f>
        <v>0.24673697304515646</v>
      </c>
      <c r="D33" s="7">
        <f>E25/C50</f>
        <v>0.41100485088863081</v>
      </c>
      <c r="E33" s="7" t="e">
        <f>F25/D50</f>
        <v>#REF!</v>
      </c>
    </row>
    <row r="34" spans="1:5" x14ac:dyDescent="0.3">
      <c r="A34" s="4" t="s">
        <v>64</v>
      </c>
      <c r="B34" s="4" t="s">
        <v>26</v>
      </c>
      <c r="C34" s="7">
        <f>D25/D22</f>
        <v>1.8220247781681229E-2</v>
      </c>
      <c r="D34" s="7">
        <f>E25/E22</f>
        <v>2.2479417104563941E-3</v>
      </c>
      <c r="E34" s="7">
        <f>F25/F22</f>
        <v>2.9105883302442377E-3</v>
      </c>
    </row>
    <row r="35" spans="1:5" x14ac:dyDescent="0.3">
      <c r="A35" s="4" t="s">
        <v>65</v>
      </c>
      <c r="B35" s="4" t="s">
        <v>27</v>
      </c>
      <c r="C35" s="7">
        <f>D23/D22</f>
        <v>0.98177975221831881</v>
      </c>
      <c r="D35" s="7">
        <f>E23/E22</f>
        <v>0.99775205828954361</v>
      </c>
      <c r="E35" s="7">
        <f>F23/F22</f>
        <v>0.99708941166975573</v>
      </c>
    </row>
    <row r="36" spans="1:5" x14ac:dyDescent="0.3">
      <c r="A36" s="4" t="s">
        <v>66</v>
      </c>
      <c r="B36" s="4" t="s">
        <v>28</v>
      </c>
      <c r="C36" s="6">
        <f>B49/B54</f>
        <v>336.53146734593349</v>
      </c>
      <c r="D36" s="6">
        <f>C49/C54</f>
        <v>101.94138797547704</v>
      </c>
      <c r="E36" s="6" t="e">
        <f>D49/D54</f>
        <v>#REF!</v>
      </c>
    </row>
    <row r="37" spans="1:5" x14ac:dyDescent="0.3">
      <c r="A37" s="4" t="s">
        <v>67</v>
      </c>
      <c r="B37" s="4" t="s">
        <v>29</v>
      </c>
      <c r="C37" s="6">
        <f>B51/B54</f>
        <v>0</v>
      </c>
      <c r="D37" s="6">
        <f>C51/C54</f>
        <v>14.885075556570234</v>
      </c>
      <c r="E37" s="6" t="e">
        <f>D51/D54</f>
        <v>#REF!</v>
      </c>
    </row>
    <row r="38" spans="1:5" x14ac:dyDescent="0.3">
      <c r="A38" s="4" t="s">
        <v>68</v>
      </c>
      <c r="B38" s="4" t="s">
        <v>30</v>
      </c>
      <c r="C38" s="6">
        <f>B52/B54</f>
        <v>191.15960908238648</v>
      </c>
      <c r="D38" s="6">
        <f>C52/C54</f>
        <v>70.616038989577831</v>
      </c>
      <c r="E38" s="6" t="e">
        <f>D52/D54</f>
        <v>#REF!</v>
      </c>
    </row>
    <row r="39" spans="1:5" x14ac:dyDescent="0.3">
      <c r="A39" s="4" t="s">
        <v>69</v>
      </c>
      <c r="B39" s="4" t="s">
        <v>31</v>
      </c>
      <c r="C39" s="6">
        <f>B53/B54</f>
        <v>277.23330305931216</v>
      </c>
      <c r="D39" s="6">
        <f>C53/C54</f>
        <v>95.623765414957006</v>
      </c>
      <c r="E39" s="6" t="e">
        <f>D53/D54</f>
        <v>#REF!</v>
      </c>
    </row>
    <row r="40" spans="1:5" x14ac:dyDescent="0.3">
      <c r="A40" s="4" t="s">
        <v>70</v>
      </c>
      <c r="B40" s="4" t="s">
        <v>32</v>
      </c>
      <c r="C40" s="6">
        <f>C38-C39</f>
        <v>-86.073693976925682</v>
      </c>
      <c r="D40" s="6">
        <f>D38-D39</f>
        <v>-25.007726425379175</v>
      </c>
      <c r="E40" s="6" t="e">
        <f>E38-E39</f>
        <v>#REF!</v>
      </c>
    </row>
    <row r="41" spans="1:5" x14ac:dyDescent="0.3">
      <c r="A41" s="4" t="s">
        <v>71</v>
      </c>
      <c r="B41" s="4" t="s">
        <v>33</v>
      </c>
      <c r="C41" s="7">
        <f>(D7+D9+D11+D12+D13)/(D18+D20)</f>
        <v>1.266315575372295</v>
      </c>
      <c r="D41" s="7">
        <f>(E7+E9+E11+E12+E13)/(E18+E20)</f>
        <v>1046.9359530352203</v>
      </c>
      <c r="E41" s="7">
        <f>(F7+F9+F11+F12+F13)/(F18+F20)</f>
        <v>1.0173304299293389</v>
      </c>
    </row>
    <row r="42" spans="1:5" x14ac:dyDescent="0.3">
      <c r="A42" s="4" t="s">
        <v>72</v>
      </c>
      <c r="B42" s="4" t="s">
        <v>34</v>
      </c>
      <c r="C42" s="7">
        <f>(D9+D11+D12+D13)/(D18+D20)</f>
        <v>1.266315575372295</v>
      </c>
      <c r="D42" s="7">
        <f>(E9+E11+E12+E13)/(E18+E20)</f>
        <v>1046.9359530352203</v>
      </c>
      <c r="E42" s="7">
        <f>(F9+F11+F12+F13)/(F18+F20)</f>
        <v>0.81028465358349733</v>
      </c>
    </row>
    <row r="43" spans="1:5" x14ac:dyDescent="0.3">
      <c r="A43" s="4" t="s">
        <v>73</v>
      </c>
      <c r="B43" s="4" t="s">
        <v>35</v>
      </c>
      <c r="C43" s="7">
        <f>(D11+D12)/(D18+D20)</f>
        <v>0.16650581075368306</v>
      </c>
      <c r="D43" s="7">
        <f>(E11+E12)/(E18+E20)</f>
        <v>186.2448220820811</v>
      </c>
      <c r="E43" s="7">
        <f>(F11+F12)/(F18+F20)</f>
        <v>5.8266190951745733E-2</v>
      </c>
    </row>
    <row r="44" spans="1:5" x14ac:dyDescent="0.3">
      <c r="A44" s="4" t="s">
        <v>74</v>
      </c>
      <c r="B44" s="4" t="s">
        <v>36</v>
      </c>
      <c r="C44" s="7">
        <f>1-B55</f>
        <v>0.7723243360814066</v>
      </c>
      <c r="D44" s="7">
        <f>1-C55</f>
        <v>0.95625018259015082</v>
      </c>
      <c r="E44" s="7">
        <f>1-D55</f>
        <v>0.98934627969847233</v>
      </c>
    </row>
    <row r="45" spans="1:5" x14ac:dyDescent="0.3">
      <c r="A45" s="4" t="s">
        <v>75</v>
      </c>
      <c r="B45" s="4" t="s">
        <v>37</v>
      </c>
      <c r="C45" s="6" t="e">
        <f>D27/D24</f>
        <v>#DIV/0!</v>
      </c>
      <c r="D45" s="4"/>
      <c r="E45" s="4"/>
    </row>
    <row r="48" spans="1:5" x14ac:dyDescent="0.3">
      <c r="A48" s="4" t="s">
        <v>111</v>
      </c>
      <c r="B48" s="4">
        <v>2022</v>
      </c>
      <c r="C48" s="4">
        <v>2021</v>
      </c>
      <c r="D48" s="4">
        <v>2020</v>
      </c>
    </row>
    <row r="49" spans="1:4" x14ac:dyDescent="0.3">
      <c r="A49" s="4" t="s">
        <v>100</v>
      </c>
      <c r="B49" s="5">
        <f>(D2+E2)/2</f>
        <v>2047610500</v>
      </c>
      <c r="C49" s="5">
        <f>(E2+F2)/2</f>
        <v>6089780500</v>
      </c>
      <c r="D49" s="5" t="e">
        <f>(F2+#REF!)/2</f>
        <v>#REF!</v>
      </c>
    </row>
    <row r="50" spans="1:4" x14ac:dyDescent="0.3">
      <c r="A50" s="4" t="s">
        <v>101</v>
      </c>
      <c r="B50" s="5">
        <f>(D16+E16)/2</f>
        <v>163996500</v>
      </c>
      <c r="C50" s="5">
        <f>(E16+F16)/2</f>
        <v>119256500</v>
      </c>
      <c r="D50" s="5" t="e">
        <f>(F16+#REF!)/2</f>
        <v>#REF!</v>
      </c>
    </row>
    <row r="51" spans="1:4" x14ac:dyDescent="0.3">
      <c r="A51" s="4" t="s">
        <v>102</v>
      </c>
      <c r="B51" s="5">
        <f>(D7+E7)/2</f>
        <v>0</v>
      </c>
      <c r="C51" s="5">
        <f>(E7+F7)/2</f>
        <v>889205500</v>
      </c>
      <c r="D51" s="5" t="e">
        <f>(F7+#REF!)/2</f>
        <v>#REF!</v>
      </c>
    </row>
    <row r="52" spans="1:4" x14ac:dyDescent="0.3">
      <c r="A52" s="4" t="s">
        <v>103</v>
      </c>
      <c r="B52" s="5">
        <f>(D10+E10)/2</f>
        <v>1163102000</v>
      </c>
      <c r="C52" s="5">
        <f>(E10+F10)/2</f>
        <v>4218465000</v>
      </c>
      <c r="D52" s="5" t="e">
        <f>(F10+#REF!)/2</f>
        <v>#REF!</v>
      </c>
    </row>
    <row r="53" spans="1:4" x14ac:dyDescent="0.3">
      <c r="A53" s="4" t="s">
        <v>104</v>
      </c>
      <c r="B53" s="5">
        <f>(D19+E19)/2</f>
        <v>1686813500</v>
      </c>
      <c r="C53" s="5">
        <f>(E19+F19)/2</f>
        <v>5712378000</v>
      </c>
      <c r="D53" s="5" t="e">
        <f>(F19+#REF!)/2</f>
        <v>#REF!</v>
      </c>
    </row>
    <row r="54" spans="1:4" x14ac:dyDescent="0.3">
      <c r="A54" s="4" t="s">
        <v>106</v>
      </c>
      <c r="B54" s="5">
        <f>D22/365</f>
        <v>6084454.7945205476</v>
      </c>
      <c r="C54" s="5">
        <f>E22/365</f>
        <v>59738057.534246579</v>
      </c>
      <c r="D54" s="5">
        <f>F22/365</f>
        <v>63208046.575342469</v>
      </c>
    </row>
    <row r="55" spans="1:4" x14ac:dyDescent="0.3">
      <c r="A55" s="4" t="s">
        <v>105</v>
      </c>
      <c r="B55" s="6">
        <f>D16/D15</f>
        <v>0.22767566391859342</v>
      </c>
      <c r="C55" s="6">
        <f>E16/E15</f>
        <v>4.3749817409849158E-2</v>
      </c>
      <c r="D55" s="6">
        <f>F16/F15</f>
        <v>1.0653720301527642E-2</v>
      </c>
    </row>
  </sheetData>
  <mergeCells count="3">
    <mergeCell ref="B29:B30"/>
    <mergeCell ref="A29:A30"/>
    <mergeCell ref="C29:E29"/>
  </mergeCells>
  <phoneticPr fontId="1" type="noConversion"/>
  <pageMargins left="0.7" right="0.7" top="0.78740157499999996" bottom="0.78740157499999996" header="0.3" footer="0.3"/>
  <pageSetup paperSize="9" orientation="portrait" r:id="rId1"/>
  <ignoredErrors>
    <ignoredError sqref="A6:A20 A2:A4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Analyza_Ukazatelu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Sakaev</dc:creator>
  <cp:lastModifiedBy>konstantin sakaev</cp:lastModifiedBy>
  <dcterms:created xsi:type="dcterms:W3CDTF">2024-03-05T17:09:25Z</dcterms:created>
  <dcterms:modified xsi:type="dcterms:W3CDTF">2026-06-02T10:34:32Z</dcterms:modified>
</cp:coreProperties>
</file>